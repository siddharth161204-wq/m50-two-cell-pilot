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umped" sheetId="2" state="visible" r:id="rId4"/>
    <sheet name="Resolved two strips" sheetId="3" state="visible" r:id="rId5"/>
    <sheet name="Resolved one strip" sheetId="4" state="visible" r:id="rId6"/>
    <sheet name="Scorecard" sheetId="5" state="visible" r:id="rId7"/>
    <sheet name="Databank rows used" sheetId="6" state="visible" r:id="rId8"/>
    <sheet name="Databank notice" sheetId="7" state="visible" r:id="rId9"/>
    <sheet name="Verification" sheetId="8" state="visible" r:id="rId10"/>
    <sheet name="Exploratory"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<sst xmlns="http://schemas.openxmlformats.org/spreadsheetml/2006/main" count="412" uniqueCount="187">
  <si>
    <t xml:space="preserve">Where and when a neighbour cell first reaches thermal-runaway onset temperatures: resolved against lumped, a pre-registered two-cell LG M50 pilot. Repository github.com/siddharth161204-wq/m50-two-cell-pilot</t>
  </si>
  <si>
    <t xml:space="preserve">Predictions commit c57ccb87e699d3dbb1230122cdba3785293627e0, public 2026-10-07 06:42:35 UTC, before any coupled resolved run.</t>
  </si>
  <si>
    <t xml:space="preserve">Temperatures in degrees Celsius, times in seconds, conductances in W/K. Blank or Never: the level is not reached within 900 s.</t>
  </si>
  <si>
    <t xml:space="preserve">Self-heating band (Koenig, Zhao, Deng 2025, Fig. 7): 169.0 / 183.5 / 198.0 C. Internal-short band: 255.7 / 278.9 / 302.1 C.</t>
  </si>
  <si>
    <t xml:space="preserve">Cell-body energies (Battery Failure Databank rev. 2, 17 fully charged LG 21700-M50 tests, open-circuit voltage 4.16 to 4.19 V): 8751.3, 21495.3, 33222.9 J (min, median, max).</t>
  </si>
  <si>
    <t xml:space="preserve">Sheets: Lumped (script, explicit Euler 0.01 s); Resolved two strips (42 cases); Resolved one strip (7 cases, median energy, 30 s); Scorecard; Databank rows used; Verification; Exploratory (not pre-registered: two-way coupling, isotropic roll, hot volume).</t>
  </si>
  <si>
    <t xml:space="preserve">Resolved max: hottest node of the resolved cell 2. Resolved mean: heat-capacity-weighted mean. Location: the path that heats the hottest node (DECISIONS.md D14).</t>
  </si>
  <si>
    <t xml:space="preserve">Columns in blue on 'Resolved two strips' are formulas: time saved and ratio at 183.5 C where both models cross.</t>
  </si>
  <si>
    <t xml:space="preserve">The sheet Databank rows used copies rows of the Battery Failure Databank; the Databank's notice is reproduced in full on the sheet Databank notice and must accompany every copy.</t>
  </si>
  <si>
    <t xml:space="preserve">The Battery Failure Databank is provided by the U.S. Department of Energy's National Renewable Energy Laboratory, operated by Alliance for Sustainable Energy, LLC (DOE/NREL/ALLIANCE); its notice accompanies the rows used, in inputs/databank/.</t>
  </si>
  <si>
    <t xml:space="preserve">E_body (J)</t>
  </si>
  <si>
    <t xml:space="preserve">Tau_rel (s)</t>
  </si>
  <si>
    <t xml:space="preserve">G_bus (W/K)</t>
  </si>
  <si>
    <t xml:space="preserve">G_gap (W/K)</t>
  </si>
  <si>
    <t xml:space="preserve">View factor</t>
  </si>
  <si>
    <t xml:space="preserve">T1 peak (C)</t>
  </si>
  <si>
    <t xml:space="preserve">T2 peak (C)</t>
  </si>
  <si>
    <t xml:space="preserve">T initial low (s)</t>
  </si>
  <si>
    <t xml:space="preserve">T initial mean (s)</t>
  </si>
  <si>
    <t xml:space="preserve">T initial high (s)</t>
  </si>
  <si>
    <t xml:space="preserve">T onset low (s)</t>
  </si>
  <si>
    <t xml:space="preserve">T onset mean (s)</t>
  </si>
  <si>
    <t xml:space="preserve">T onset high (s)</t>
  </si>
  <si>
    <t xml:space="preserve">Cell 1 peak (C)</t>
  </si>
  <si>
    <t xml:space="preserve">Lumped peak (C)</t>
  </si>
  <si>
    <t xml:space="preserve">Resolved mean peak (C)</t>
  </si>
  <si>
    <t xml:space="preserve">Resolved max peak (C)</t>
  </si>
  <si>
    <t xml:space="preserve">Time of resolved max peak (s)</t>
  </si>
  <si>
    <t xml:space="preserve">Hot spot path at peak</t>
  </si>
  <si>
    <t xml:space="preserve">Hot spot place at peak</t>
  </si>
  <si>
    <t xml:space="preserve">T initial low: lumped (s)</t>
  </si>
  <si>
    <t xml:space="preserve">T initial low: resolved max (s)</t>
  </si>
  <si>
    <t xml:space="preserve">T initial low: resolved mean (s)</t>
  </si>
  <si>
    <t xml:space="preserve">T initial low: hot spot path</t>
  </si>
  <si>
    <t xml:space="preserve">T initial low: max minus mean at crossing (K)</t>
  </si>
  <si>
    <t xml:space="preserve">T initial mean: lumped (s)</t>
  </si>
  <si>
    <t xml:space="preserve">T initial mean: resolved max (s)</t>
  </si>
  <si>
    <t xml:space="preserve">T initial mean: resolved mean (s)</t>
  </si>
  <si>
    <t xml:space="preserve">T initial mean: hot spot path</t>
  </si>
  <si>
    <t xml:space="preserve">T initial mean: max minus mean at crossing (K)</t>
  </si>
  <si>
    <t xml:space="preserve">T initial high: lumped (s)</t>
  </si>
  <si>
    <t xml:space="preserve">T initial high: resolved max (s)</t>
  </si>
  <si>
    <t xml:space="preserve">T initial high: resolved mean (s)</t>
  </si>
  <si>
    <t xml:space="preserve">T initial high: hot spot path</t>
  </si>
  <si>
    <t xml:space="preserve">T initial high: max minus mean at crossing (K)</t>
  </si>
  <si>
    <t xml:space="preserve">T onset low: lumped (s)</t>
  </si>
  <si>
    <t xml:space="preserve">T onset low: resolved max (s)</t>
  </si>
  <si>
    <t xml:space="preserve">T onset low: resolved mean (s)</t>
  </si>
  <si>
    <t xml:space="preserve">T onset low: hot spot path</t>
  </si>
  <si>
    <t xml:space="preserve">T onset low: max minus mean at crossing (K)</t>
  </si>
  <si>
    <t xml:space="preserve">T onset mean: lumped (s)</t>
  </si>
  <si>
    <t xml:space="preserve">T onset mean: resolved max (s)</t>
  </si>
  <si>
    <t xml:space="preserve">T onset mean: resolved mean (s)</t>
  </si>
  <si>
    <t xml:space="preserve">T onset mean: hot spot path</t>
  </si>
  <si>
    <t xml:space="preserve">T onset mean: max minus mean at crossing (K)</t>
  </si>
  <si>
    <t xml:space="preserve">T onset high: lumped (s)</t>
  </si>
  <si>
    <t xml:space="preserve">T onset high: resolved max (s)</t>
  </si>
  <si>
    <t xml:space="preserve">T onset high: resolved mean (s)</t>
  </si>
  <si>
    <t xml:space="preserve">T onset high: hot spot path</t>
  </si>
  <si>
    <t xml:space="preserve">T onset high: max minus mean at crossing (K)</t>
  </si>
  <si>
    <t xml:space="preserve">Time saved at 183.5 C (s)</t>
  </si>
  <si>
    <t xml:space="preserve">Lumped over resolved time at 183.5 C</t>
  </si>
  <si>
    <t xml:space="preserve">Energy residual</t>
  </si>
  <si>
    <t xml:space="preserve">Gap-facing surface</t>
  </si>
  <si>
    <t xml:space="preserve">Terminal end</t>
  </si>
  <si>
    <t xml:space="preserve">Positive terminal end</t>
  </si>
  <si>
    <t xml:space="preserve">Gap-facing rim of the negative end</t>
  </si>
  <si>
    <t xml:space="preserve">Prediction</t>
  </si>
  <si>
    <t xml:space="preserve">Statement (predictions.md)</t>
  </si>
  <si>
    <t xml:space="preserve">Result</t>
  </si>
  <si>
    <t xml:space="preserve">Measured</t>
  </si>
  <si>
    <t xml:space="preserve">P1</t>
  </si>
  <si>
    <t xml:space="preserve">At 5 mW/K neither model reaches 169.0 C in any of the six energy and duration cases</t>
  </si>
  <si>
    <t xml:space="preserve">Held</t>
  </si>
  <si>
    <t xml:space="preserve">Peaks 39.3 to 77.0 C (lumped and resolved)</t>
  </si>
  <si>
    <t xml:space="preserve">P2</t>
  </si>
  <si>
    <t xml:space="preserve">At 500 mW/K, where the lumped node crosses 183.5 C, the resolved hottest point crosses it more than 50 % earlier</t>
  </si>
  <si>
    <t xml:space="preserve">Tau 10 s: 5.70 s against 69.64 s, 91.8 % earlier; Tau 30 s: 15.51 s against 79.17 s, 80.4 % earlier</t>
  </si>
  <si>
    <t xml:space="preserve">P3</t>
  </si>
  <si>
    <t xml:space="preserve">Only-resolved crossings exist; smallest conductance for 183.5 C is 0.1 or 0.2 W/K; at 0.5 W/K and 33.2 kJ the hottest point reaches 255.7 C</t>
  </si>
  <si>
    <t xml:space="preserve">Smallest conductance 0.2 W/K; 255.7 C reached at 7.13 s (tau 10 s) and 19.24 s (tau 30 s)</t>
  </si>
  <si>
    <t xml:space="preserve">P4</t>
  </si>
  <si>
    <t xml:space="preserve">Hottest point (at its peak, median energy, 30 s) gap-facing at 0.005 and 0.01 W/K, terminal end at 0.1, 0.2 and 0.5 W/K</t>
  </si>
  <si>
    <t xml:space="preserve">Failed</t>
  </si>
  <si>
    <t xml:space="preserve">0.005: gap-facing surface; 0.01: terminal end; 0.02: terminal end; 0.05: terminal end; 0.1: terminal end; 0.2: terminal end; 0.5: terminal end</t>
  </si>
  <si>
    <t xml:space="preserve">P5</t>
  </si>
  <si>
    <t xml:space="preserve">At 0.5 W/K the resolved mean's peak rise is at least 15 % smaller than the lumped node's, in all six cases</t>
  </si>
  <si>
    <t xml:space="preserve">8.8 kJ, 10 s: 22.4 %; 8.8 kJ, 30 s: 22.4 %; 21.5 kJ, 10 s: 23.1 %; 21.5 kJ, 30 s: 23.2 %; 33.2 kJ, 10 s: 23.7 %; 33.2 kJ, 30 s: 23.7 %</t>
  </si>
  <si>
    <t xml:space="preserve">Test-ID</t>
  </si>
  <si>
    <t xml:space="preserve">Trigger-Mechanism</t>
  </si>
  <si>
    <t xml:space="preserve">OCV_V</t>
  </si>
  <si>
    <t xml:space="preserve">Corrected-Total-Energy-Yield-kJ</t>
  </si>
  <si>
    <t xml:space="preserve">Energy-Fraction-Cell-Body-kJ</t>
  </si>
  <si>
    <t xml:space="preserve">Energy-Fraction-Positive-Ejecta-kJ</t>
  </si>
  <si>
    <t xml:space="preserve">Energy-Fraction-Negative-Ejecta-kJ</t>
  </si>
  <si>
    <t xml:space="preserve">Energy-Percent-Cell-Body-%</t>
  </si>
  <si>
    <t xml:space="preserve">Pre-Test-Cell-Mass-g</t>
  </si>
  <si>
    <t xml:space="preserve">Post-Test-Mass-Cell-Body-g</t>
  </si>
  <si>
    <t xml:space="preserve">Mass-Ejected-g</t>
  </si>
  <si>
    <t xml:space="preserve">Cell-Failure-Mechanism</t>
  </si>
  <si>
    <t xml:space="preserve">ESRF18_Oct_Run041</t>
  </si>
  <si>
    <t xml:space="preserve">Heater (Non-ISC)</t>
  </si>
  <si>
    <t xml:space="preserve">Top and Bottom Vent</t>
  </si>
  <si>
    <t xml:space="preserve">ESRF18_Oct_Run042</t>
  </si>
  <si>
    <t xml:space="preserve">Bottom Vent</t>
  </si>
  <si>
    <t xml:space="preserve">ESRF18_Oct_Run043</t>
  </si>
  <si>
    <t xml:space="preserve">ESRF18_Oct_Run044</t>
  </si>
  <si>
    <t xml:space="preserve">DLS19_Feb_Run046</t>
  </si>
  <si>
    <t xml:space="preserve">DLS19_Feb_Run090</t>
  </si>
  <si>
    <t xml:space="preserve">DLS19_Feb_Run091</t>
  </si>
  <si>
    <t xml:space="preserve">ESRF18_Oct_Run063</t>
  </si>
  <si>
    <t xml:space="preserve">Nail</t>
  </si>
  <si>
    <t xml:space="preserve">ESRF18_Oct_Run065</t>
  </si>
  <si>
    <t xml:space="preserve">ESRF18_Oct_Run067</t>
  </si>
  <si>
    <t xml:space="preserve">DLS19_Feb_Run045</t>
  </si>
  <si>
    <t xml:space="preserve">DLS19_Feb_Run047</t>
  </si>
  <si>
    <t xml:space="preserve">SPR2021_ESTA_8B100-01_SOC_RUN194</t>
  </si>
  <si>
    <t xml:space="preserve">SPR2021_ESTA_8B100-01_SOC_RUN195</t>
  </si>
  <si>
    <t xml:space="preserve">Top Vent</t>
  </si>
  <si>
    <t xml:space="preserve">SPR2021_ESTA_8B100-01_SOC_RUN196</t>
  </si>
  <si>
    <t xml:space="preserve">SPR2021_ESTA_8B100-01_SOC_RUN197</t>
  </si>
  <si>
    <t xml:space="preserve">SPR2021_ESTA_8B100-01_SOC_RUN198</t>
  </si>
  <si>
    <t xml:space="preserve">The rows in databank_m50_rows.csv are copied unchanged from the Battery Failure Databank (sheet "Battery Failure Databank", all rows whose Cell-Description contains "M50"). The Databank's own notice, reproduced in full as it requires:</t>
  </si>
  <si>
    <t xml:space="preserve">The National Renewable Energy Laboratory (NREL) is operated for the U.S. Department of Energy (DOE) by Alliance for Sustainable Energy, LLC ("Alliance").</t>
  </si>
  <si>
    <t xml:space="preserve">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 in any publication that results from the use of the Data. The names DOE/NREL/ALLIANCE, however, may not be used in any advertising or publicity to endorse or promote any products or commercial entities unless specific written permission is obtained from DOE/NREL/ ALLIANCE. The user also understands that DOE/NREL/ALLIANCE are not obligated to provide the user with any support, consulting, training or assistance of any kind with regard to the use of the Data or to provide the user with any updates, revisions or new versions thereof. DOE, NREL, and ALLIANCE do not guarantee or endorse any results generated by use of the Data, and user is entirely responsible for the results and any reliance on the results or the Data in general.</t>
  </si>
  <si>
    <t xml:space="preserve">USER AGREES TO INDEMNIFY DOE/NREL/ALLIANCE AND ITS SUBSIDIARIES, AFFILIATES, OFFICERS, AGENTS, AND EMPLOYEES AGAINST ANY CLAIM OR DEMAND, INCLUDING REASONABLE ATTORNEYS' FEES, RELATED TO USER'S USE OF THE DATA. THE DATA ARE PROVIDED BY DOE/NREL/ALLIANCE "AS IS," AND ANY EXPRESS OR IMPLIED WARRANTIES, INCLUDING BUT NOT LIMITED TO THE IMPLIED WARRANTIES OF MERCHANTABILITY AND FITNESS FOR A PARTICULAR PURPOSE ARE DISCLAIMED. DOE/NREL/ALLIANCE ASSUME NO LEGAL LIABILITY OR RESPONSIBILITY FOR THE ACCURACY, COMPLETENESS, OR USEFULNESS OF THE DATA, OR REPRESENT THAT ITS USE WOULD NOT INFRINGE PRIVATELY OWNED RIGHTS. IN NO EVENT SHALL DOE/NREL/ALLIANCE BE LIABLE FOR ANY SPECIAL, INDIRECT OR CONSEQUENTIAL DAMAGES OR ANY DAMAGES WHATSOEVER, INCLUDING BUT NOT LIMITED TO CLAIMS ASSOCIATED WITH THE LOSS OF DATA OR PROFITS, THAT MAY RESULT FROM AN ACTION IN CONTRACT, NEGLIGENCE OR OTHER TORTIOUS CLAIM THAT ARISES OUT OF OR IN CONNECTION WITH THE ACCESS, USE OR PERFORMANCE OF THE DATA.</t>
  </si>
  <si>
    <t xml:space="preserve">Check</t>
  </si>
  <si>
    <t xml:space="preserve">Value</t>
  </si>
  <si>
    <t xml:space="preserve">V1 radiation only: max deviation of resolved mean from lumped node (% of rise)</t>
  </si>
  <si>
    <t xml:space="preserve">V1 energy residual (relative)</t>
  </si>
  <si>
    <t xml:space="preserve">V2 median case (21.5 kJ, 30 s, 50 mW/K), time step halved: change in resolved max peak (K)</t>
  </si>
  <si>
    <t xml:space="preserve">V2 median case, time step halved: change in resolved mean peak (K)</t>
  </si>
  <si>
    <t xml:space="preserve">V2 median case, mesh refined (every spacing halved): change in resolved max peak (K)</t>
  </si>
  <si>
    <t xml:space="preserve">V2 median case, mesh refined: change in resolved mean peak (K)</t>
  </si>
  <si>
    <t xml:space="preserve">V2 max energy, tau 10 s, 500 mW/K, time step halved (0.05 s) (against an unrounded base run): largest change in a hottest-point crossing time (s)</t>
  </si>
  <si>
    <t xml:space="preserve">V2 max energy, tau 10 s, 500 mW/K, time step halved (0.05 s) (against an unrounded base run): change in resolved max peak (K)</t>
  </si>
  <si>
    <t xml:space="preserve">V2 max energy, tau 10 s, 500 mW/K, time step halved (0.05 s) (against an unrounded base run): change in resolved mean peak (K)</t>
  </si>
  <si>
    <t xml:space="preserve">V2 max energy, tau 10 s, 500 mW/K, mesh refined (297,057 nodes) (against an unrounded base run): largest change in a hottest-point crossing time (s)</t>
  </si>
  <si>
    <t xml:space="preserve">V2 max energy, tau 10 s, 500 mW/K, mesh refined (297,057 nodes) (against an unrounded base run): change in resolved max peak (K)</t>
  </si>
  <si>
    <t xml:space="preserve">V2 max energy, tau 10 s, 500 mW/K, mesh refined (297,057 nodes) (against an unrounded base run): change in resolved mean peak (K)</t>
  </si>
  <si>
    <t xml:space="preserve">V2 max energy, tau 30 s, 500 mW/K, time step halved (0.05 s) (against an unrounded base run): largest change in a hottest-point crossing time (s)</t>
  </si>
  <si>
    <t xml:space="preserve">V2 max energy, tau 30 s, 500 mW/K, time step halved (0.05 s) (against an unrounded base run): change in resolved max peak (K)</t>
  </si>
  <si>
    <t xml:space="preserve">V2 max energy, tau 30 s, 500 mW/K, time step halved (0.05 s) (against an unrounded base run): change in resolved mean peak (K)</t>
  </si>
  <si>
    <t xml:space="preserve">V2 max energy, tau 30 s, 500 mW/K, mesh refined (297,057 nodes) (against an unrounded base run): largest change in a hottest-point crossing time (s)</t>
  </si>
  <si>
    <t xml:space="preserve">V2 max energy, tau 30 s, 500 mW/K, mesh refined (297,057 nodes) (against an unrounded base run): change in resolved max peak (K)</t>
  </si>
  <si>
    <t xml:space="preserve">V2 max energy, tau 30 s, 500 mW/K, mesh refined (297,057 nodes) (against an unrounded base run): change in resolved mean peak (K)</t>
  </si>
  <si>
    <t xml:space="preserve">Unrounded rerun of the base case (v2_max_tau10_G0.5_refine1_dt0.1): crossing times agree with the sweep table to its 0.01 s rounding</t>
  </si>
  <si>
    <t xml:space="preserve">Yes</t>
  </si>
  <si>
    <t xml:space="preserve">Unrounded rerun of the base case (v2_max_tau30_G0.5_refine1_dt0.1): crossing times agree with the sweep table to its 0.01 s rounding</t>
  </si>
  <si>
    <t xml:space="preserve">Rerun of two_E33223_tau30_G0.5 with the final code: fields differing from the registered row, run time excepted</t>
  </si>
  <si>
    <t xml:space="preserve">Rerun of two_E33223_tau30_G0.5 with the final code: largest difference in any recorded time series</t>
  </si>
  <si>
    <t xml:space="preserve">V3 median case: lumped peak (C)</t>
  </si>
  <si>
    <t xml:space="preserve">V3 median case: resolved mean peak (C)</t>
  </si>
  <si>
    <t xml:space="preserve">V3 median case: resolved max peak (C)</t>
  </si>
  <si>
    <t xml:space="preserve">Largest energy residual over the 42 cases (relative)</t>
  </si>
  <si>
    <t xml:space="preserve">Two-way coupling check (roll at 1e4 W/mK, 33.2 kJ, 30 s, 500 mW/K): largest difference in cell 1 from the lumped pair (K)</t>
  </si>
  <si>
    <t xml:space="preserve">Two-way coupling check: largest difference in cell 2 mean from the lumped pair (K)</t>
  </si>
  <si>
    <t xml:space="preserve">Run</t>
  </si>
  <si>
    <t xml:space="preserve">183.5 C, hottest point, registered (s)</t>
  </si>
  <si>
    <t xml:space="preserve">183.5 C, hottest point, this run (s)</t>
  </si>
  <si>
    <t xml:space="preserve">Hottest peak, registered (C)</t>
  </si>
  <si>
    <t xml:space="preserve">Hottest peak, this run (C)</t>
  </si>
  <si>
    <t xml:space="preserve">Mean peak, registered (C)</t>
  </si>
  <si>
    <t xml:space="preserve">Mean peak, this run (C)</t>
  </si>
  <si>
    <t xml:space="preserve">169.0 C, mean, this run (s)</t>
  </si>
  <si>
    <t xml:space="preserve">Lumped node peak (C)</t>
  </si>
  <si>
    <t xml:space="preserve">Mean rise below lumped rise, this run (%)</t>
  </si>
  <si>
    <t xml:space="preserve">Cell 1 peak, lumped pair (C)</t>
  </si>
  <si>
    <t xml:space="preserve">Cell 1 peak, this run (C)</t>
  </si>
  <si>
    <t xml:space="preserve">Two-way coupling</t>
  </si>
  <si>
    <t xml:space="preserve">Never</t>
  </si>
  <si>
    <t xml:space="preserve">Isotropic roll, 25 W/mK</t>
  </si>
  <si>
    <t xml:space="preserve">Hot volume run (registered physics)</t>
  </si>
  <si>
    <t xml:space="preserve">Max % of cell at or above 169.0 C</t>
  </si>
  <si>
    <t xml:space="preserve">Max % at or above 183.5 C</t>
  </si>
  <si>
    <t xml:space="preserve">Max % at or above 198.0 C</t>
  </si>
  <si>
    <t xml:space="preserve">Max % at or above 255.7 C</t>
  </si>
  <si>
    <t xml:space="preserve">0.1 % of cell at 183.5 C (s)</t>
  </si>
  <si>
    <t xml:space="preserve">1 % of cell at 183.5 C (s)</t>
  </si>
  <si>
    <t xml:space="preserve">Two strips, max energy, tau 30 s, 500 mW/K</t>
  </si>
  <si>
    <t xml:space="preserve">Two strips, median energy, tau 30 s, 500 mW/K</t>
  </si>
  <si>
    <t xml:space="preserve">Two strips, max energy, tau 30 s, 200 mW/K</t>
  </si>
  <si>
    <t xml:space="preserve">Two strips, median energy, tau 30 s, 200 mW/K</t>
  </si>
  <si>
    <t xml:space="preserve">Two strips, max energy, tau 30 s, 100 mW/K</t>
  </si>
  <si>
    <t xml:space="preserve">Two strips, max energy, tau 10 s, 500 mW/K</t>
  </si>
  <si>
    <t xml:space="preserve">Two strips, max energy, tau 10 s, 200 mW/K</t>
  </si>
  <si>
    <t xml:space="preserve">Two strips, median energy, tau 10 s, 500 mW/K</t>
  </si>
</sst>
</file>

<file path=xl/styles.xml><?xml version="1.0" encoding="utf-8"?>
<styleSheet xmlns="http://schemas.openxmlformats.org/spreadsheetml/2006/main">
  <numFmts count="4">
    <numFmt numFmtId="164" formatCode="General"/>
    <numFmt numFmtId="165" formatCode="0.00"/>
    <numFmt numFmtId="166" formatCode="0.0E+00"/>
    <numFmt numFmtId="167" formatCode="0.000"/>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sz val="10"/>
      <color rgb="FF0000FF"/>
      <name val="Arial"/>
      <family val="0"/>
      <charset val="1"/>
    </font>
  </fonts>
  <fills count="3">
    <fill>
      <patternFill patternType="none"/>
    </fill>
    <fill>
      <patternFill patternType="gray125"/>
    </fill>
    <fill>
      <patternFill patternType="solid">
        <fgColor rgb="FFF0EFEC"/>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0EF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row r="8" customFormat="false" ht="15" hidden="false" customHeight="false" outlineLevel="0" collapsed="false">
      <c r="A8" s="2" t="s">
        <v>7</v>
      </c>
    </row>
    <row r="9" customFormat="false" ht="15" hidden="false" customHeight="false" outlineLevel="0" collapsed="false">
      <c r="A9" s="2" t="s">
        <v>8</v>
      </c>
    </row>
    <row r="10" customFormat="false" ht="15" hidden="false" customHeight="false" outlineLevel="0" collapsed="false">
      <c r="A10"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7" min="2" style="0" width="13"/>
    <col collapsed="false" customWidth="true" hidden="false" outlineLevel="0" max="8" min="8" style="0" width="19"/>
    <col collapsed="false" customWidth="true" hidden="false" outlineLevel="0" max="10" min="9" style="0" width="20"/>
    <col collapsed="false" customWidth="true" hidden="false" outlineLevel="0" max="11" min="11" style="0" width="17"/>
    <col collapsed="false" customWidth="true" hidden="false" outlineLevel="0" max="13" min="12" style="0" width="18"/>
  </cols>
  <sheetData>
    <row r="1" customFormat="false" ht="15" hidden="false" customHeight="false" outlineLevel="0" collapsed="false">
      <c r="A1" s="3" t="s">
        <v>10</v>
      </c>
      <c r="B1" s="3" t="s">
        <v>11</v>
      </c>
      <c r="C1" s="3" t="s">
        <v>12</v>
      </c>
      <c r="D1" s="3" t="s">
        <v>13</v>
      </c>
      <c r="E1" s="3" t="s">
        <v>14</v>
      </c>
      <c r="F1" s="3" t="s">
        <v>15</v>
      </c>
      <c r="G1" s="3" t="s">
        <v>16</v>
      </c>
      <c r="H1" s="3" t="s">
        <v>17</v>
      </c>
      <c r="I1" s="3" t="s">
        <v>18</v>
      </c>
      <c r="J1" s="3" t="s">
        <v>19</v>
      </c>
      <c r="K1" s="3" t="s">
        <v>20</v>
      </c>
      <c r="L1" s="3" t="s">
        <v>21</v>
      </c>
      <c r="M1" s="3" t="s">
        <v>22</v>
      </c>
    </row>
    <row r="2" customFormat="false" ht="15" hidden="false" customHeight="false" outlineLevel="0" collapsed="false">
      <c r="A2" s="2" t="n">
        <v>8751.3</v>
      </c>
      <c r="B2" s="2" t="n">
        <v>10</v>
      </c>
      <c r="C2" s="2" t="n">
        <v>0.005</v>
      </c>
      <c r="D2" s="2" t="n">
        <v>0.01743</v>
      </c>
      <c r="E2" s="2" t="n">
        <v>0.1599</v>
      </c>
      <c r="F2" s="2" t="n">
        <v>165.5</v>
      </c>
      <c r="G2" s="2" t="n">
        <v>39.3</v>
      </c>
      <c r="H2" s="2"/>
      <c r="I2" s="2"/>
      <c r="J2" s="2"/>
      <c r="K2" s="2"/>
      <c r="L2" s="2"/>
      <c r="M2" s="2"/>
    </row>
    <row r="3" customFormat="false" ht="15" hidden="false" customHeight="false" outlineLevel="0" collapsed="false">
      <c r="A3" s="2" t="n">
        <v>8751.3</v>
      </c>
      <c r="B3" s="2" t="n">
        <v>10</v>
      </c>
      <c r="C3" s="2" t="n">
        <v>0.01</v>
      </c>
      <c r="D3" s="2" t="n">
        <v>0.01743</v>
      </c>
      <c r="E3" s="2" t="n">
        <v>0.1599</v>
      </c>
      <c r="F3" s="2" t="n">
        <v>165.4</v>
      </c>
      <c r="G3" s="2" t="n">
        <v>41.2</v>
      </c>
      <c r="H3" s="2"/>
      <c r="I3" s="2"/>
      <c r="J3" s="2"/>
      <c r="K3" s="2"/>
      <c r="L3" s="2"/>
      <c r="M3" s="2"/>
    </row>
    <row r="4" customFormat="false" ht="15" hidden="false" customHeight="false" outlineLevel="0" collapsed="false">
      <c r="A4" s="2" t="n">
        <v>8751.3</v>
      </c>
      <c r="B4" s="2" t="n">
        <v>10</v>
      </c>
      <c r="C4" s="2" t="n">
        <v>0.02</v>
      </c>
      <c r="D4" s="2" t="n">
        <v>0.01743</v>
      </c>
      <c r="E4" s="2" t="n">
        <v>0.1599</v>
      </c>
      <c r="F4" s="2" t="n">
        <v>165.3</v>
      </c>
      <c r="G4" s="2" t="n">
        <v>44.5</v>
      </c>
      <c r="H4" s="2"/>
      <c r="I4" s="2"/>
      <c r="J4" s="2"/>
      <c r="K4" s="2"/>
      <c r="L4" s="2"/>
      <c r="M4" s="2"/>
    </row>
    <row r="5" customFormat="false" ht="15" hidden="false" customHeight="false" outlineLevel="0" collapsed="false">
      <c r="A5" s="2" t="n">
        <v>8751.3</v>
      </c>
      <c r="B5" s="2" t="n">
        <v>10</v>
      </c>
      <c r="C5" s="2" t="n">
        <v>0.05</v>
      </c>
      <c r="D5" s="2" t="n">
        <v>0.01743</v>
      </c>
      <c r="E5" s="2" t="n">
        <v>0.1599</v>
      </c>
      <c r="F5" s="2" t="n">
        <v>165</v>
      </c>
      <c r="G5" s="2" t="n">
        <v>52</v>
      </c>
      <c r="H5" s="2"/>
      <c r="I5" s="2"/>
      <c r="J5" s="2"/>
      <c r="K5" s="2"/>
      <c r="L5" s="2"/>
      <c r="M5" s="2"/>
    </row>
    <row r="6" customFormat="false" ht="15" hidden="false" customHeight="false" outlineLevel="0" collapsed="false">
      <c r="A6" s="2" t="n">
        <v>8751.3</v>
      </c>
      <c r="B6" s="2" t="n">
        <v>10</v>
      </c>
      <c r="C6" s="2" t="n">
        <v>0.1</v>
      </c>
      <c r="D6" s="2" t="n">
        <v>0.01743</v>
      </c>
      <c r="E6" s="2" t="n">
        <v>0.1599</v>
      </c>
      <c r="F6" s="2" t="n">
        <v>164.4</v>
      </c>
      <c r="G6" s="2" t="n">
        <v>60</v>
      </c>
      <c r="H6" s="2"/>
      <c r="I6" s="2"/>
      <c r="J6" s="2"/>
      <c r="K6" s="2"/>
      <c r="L6" s="2"/>
      <c r="M6" s="2"/>
    </row>
    <row r="7" customFormat="false" ht="15" hidden="false" customHeight="false" outlineLevel="0" collapsed="false">
      <c r="A7" s="2" t="n">
        <v>8751.3</v>
      </c>
      <c r="B7" s="2" t="n">
        <v>10</v>
      </c>
      <c r="C7" s="2" t="n">
        <v>0.2</v>
      </c>
      <c r="D7" s="2" t="n">
        <v>0.01743</v>
      </c>
      <c r="E7" s="2" t="n">
        <v>0.1599</v>
      </c>
      <c r="F7" s="2" t="n">
        <v>163.4</v>
      </c>
      <c r="G7" s="2" t="n">
        <v>68.9</v>
      </c>
      <c r="H7" s="2"/>
      <c r="I7" s="2"/>
      <c r="J7" s="2"/>
      <c r="K7" s="2"/>
      <c r="L7" s="2"/>
      <c r="M7" s="2"/>
    </row>
    <row r="8" customFormat="false" ht="15" hidden="false" customHeight="false" outlineLevel="0" collapsed="false">
      <c r="A8" s="2" t="n">
        <v>8751.3</v>
      </c>
      <c r="B8" s="2" t="n">
        <v>10</v>
      </c>
      <c r="C8" s="2" t="n">
        <v>0.5</v>
      </c>
      <c r="D8" s="2" t="n">
        <v>0.01743</v>
      </c>
      <c r="E8" s="2" t="n">
        <v>0.1599</v>
      </c>
      <c r="F8" s="2" t="n">
        <v>160.3</v>
      </c>
      <c r="G8" s="2" t="n">
        <v>79.5</v>
      </c>
      <c r="H8" s="2"/>
      <c r="I8" s="2"/>
      <c r="J8" s="2"/>
      <c r="K8" s="2"/>
      <c r="L8" s="2"/>
      <c r="M8" s="2"/>
    </row>
    <row r="9" customFormat="false" ht="15" hidden="false" customHeight="false" outlineLevel="0" collapsed="false">
      <c r="A9" s="2" t="n">
        <v>8751.3</v>
      </c>
      <c r="B9" s="2" t="n">
        <v>30</v>
      </c>
      <c r="C9" s="2" t="n">
        <v>0.005</v>
      </c>
      <c r="D9" s="2" t="n">
        <v>0.01743</v>
      </c>
      <c r="E9" s="2" t="n">
        <v>0.1599</v>
      </c>
      <c r="F9" s="2" t="n">
        <v>163.1</v>
      </c>
      <c r="G9" s="2" t="n">
        <v>39.3</v>
      </c>
      <c r="H9" s="2"/>
      <c r="I9" s="2"/>
      <c r="J9" s="2"/>
      <c r="K9" s="2"/>
      <c r="L9" s="2"/>
      <c r="M9" s="2"/>
    </row>
    <row r="10" customFormat="false" ht="15" hidden="false" customHeight="false" outlineLevel="0" collapsed="false">
      <c r="A10" s="2" t="n">
        <v>8751.3</v>
      </c>
      <c r="B10" s="2" t="n">
        <v>30</v>
      </c>
      <c r="C10" s="2" t="n">
        <v>0.01</v>
      </c>
      <c r="D10" s="2" t="n">
        <v>0.01743</v>
      </c>
      <c r="E10" s="2" t="n">
        <v>0.1599</v>
      </c>
      <c r="F10" s="2" t="n">
        <v>163</v>
      </c>
      <c r="G10" s="2" t="n">
        <v>41.2</v>
      </c>
      <c r="H10" s="2"/>
      <c r="I10" s="2"/>
      <c r="J10" s="2"/>
      <c r="K10" s="2"/>
      <c r="L10" s="2"/>
      <c r="M10" s="2"/>
    </row>
    <row r="11" customFormat="false" ht="15" hidden="false" customHeight="false" outlineLevel="0" collapsed="false">
      <c r="A11" s="2" t="n">
        <v>8751.3</v>
      </c>
      <c r="B11" s="2" t="n">
        <v>30</v>
      </c>
      <c r="C11" s="2" t="n">
        <v>0.02</v>
      </c>
      <c r="D11" s="2" t="n">
        <v>0.01743</v>
      </c>
      <c r="E11" s="2" t="n">
        <v>0.1599</v>
      </c>
      <c r="F11" s="2" t="n">
        <v>162.6</v>
      </c>
      <c r="G11" s="2" t="n">
        <v>44.5</v>
      </c>
      <c r="H11" s="2"/>
      <c r="I11" s="2"/>
      <c r="J11" s="2"/>
      <c r="K11" s="2"/>
      <c r="L11" s="2"/>
      <c r="M11" s="2"/>
    </row>
    <row r="12" customFormat="false" ht="15" hidden="false" customHeight="false" outlineLevel="0" collapsed="false">
      <c r="A12" s="2" t="n">
        <v>8751.3</v>
      </c>
      <c r="B12" s="2" t="n">
        <v>30</v>
      </c>
      <c r="C12" s="2" t="n">
        <v>0.05</v>
      </c>
      <c r="D12" s="2" t="n">
        <v>0.01743</v>
      </c>
      <c r="E12" s="2" t="n">
        <v>0.1599</v>
      </c>
      <c r="F12" s="2" t="n">
        <v>161.7</v>
      </c>
      <c r="G12" s="2" t="n">
        <v>52</v>
      </c>
      <c r="H12" s="2"/>
      <c r="I12" s="2"/>
      <c r="J12" s="2"/>
      <c r="K12" s="2"/>
      <c r="L12" s="2"/>
      <c r="M12" s="2"/>
    </row>
    <row r="13" customFormat="false" ht="15" hidden="false" customHeight="false" outlineLevel="0" collapsed="false">
      <c r="A13" s="2" t="n">
        <v>8751.3</v>
      </c>
      <c r="B13" s="2" t="n">
        <v>30</v>
      </c>
      <c r="C13" s="2" t="n">
        <v>0.1</v>
      </c>
      <c r="D13" s="2" t="n">
        <v>0.01743</v>
      </c>
      <c r="E13" s="2" t="n">
        <v>0.1599</v>
      </c>
      <c r="F13" s="2" t="n">
        <v>160.2</v>
      </c>
      <c r="G13" s="2" t="n">
        <v>60</v>
      </c>
      <c r="H13" s="2"/>
      <c r="I13" s="2"/>
      <c r="J13" s="2"/>
      <c r="K13" s="2"/>
      <c r="L13" s="2"/>
      <c r="M13" s="2"/>
    </row>
    <row r="14" customFormat="false" ht="15" hidden="false" customHeight="false" outlineLevel="0" collapsed="false">
      <c r="A14" s="2" t="n">
        <v>8751.3</v>
      </c>
      <c r="B14" s="2" t="n">
        <v>30</v>
      </c>
      <c r="C14" s="2" t="n">
        <v>0.2</v>
      </c>
      <c r="D14" s="2" t="n">
        <v>0.01743</v>
      </c>
      <c r="E14" s="2" t="n">
        <v>0.1599</v>
      </c>
      <c r="F14" s="2" t="n">
        <v>157.3</v>
      </c>
      <c r="G14" s="2" t="n">
        <v>68.9</v>
      </c>
      <c r="H14" s="2"/>
      <c r="I14" s="2"/>
      <c r="J14" s="2"/>
      <c r="K14" s="2"/>
      <c r="L14" s="2"/>
      <c r="M14" s="2"/>
    </row>
    <row r="15" customFormat="false" ht="15" hidden="false" customHeight="false" outlineLevel="0" collapsed="false">
      <c r="A15" s="2" t="n">
        <v>8751.3</v>
      </c>
      <c r="B15" s="2" t="n">
        <v>30</v>
      </c>
      <c r="C15" s="2" t="n">
        <v>0.5</v>
      </c>
      <c r="D15" s="2" t="n">
        <v>0.01743</v>
      </c>
      <c r="E15" s="2" t="n">
        <v>0.1599</v>
      </c>
      <c r="F15" s="2" t="n">
        <v>149.7</v>
      </c>
      <c r="G15" s="2" t="n">
        <v>79.5</v>
      </c>
      <c r="H15" s="2"/>
      <c r="I15" s="2"/>
      <c r="J15" s="2"/>
      <c r="K15" s="2"/>
      <c r="L15" s="2"/>
      <c r="M15" s="2"/>
    </row>
    <row r="16" customFormat="false" ht="15" hidden="false" customHeight="false" outlineLevel="0" collapsed="false">
      <c r="A16" s="2" t="n">
        <v>21495.3</v>
      </c>
      <c r="B16" s="2" t="n">
        <v>10</v>
      </c>
      <c r="C16" s="2" t="n">
        <v>0.005</v>
      </c>
      <c r="D16" s="2" t="n">
        <v>0.01743</v>
      </c>
      <c r="E16" s="2" t="n">
        <v>0.1599</v>
      </c>
      <c r="F16" s="2" t="n">
        <v>368.9</v>
      </c>
      <c r="G16" s="2" t="n">
        <v>58.2</v>
      </c>
      <c r="H16" s="2"/>
      <c r="I16" s="2"/>
      <c r="J16" s="2"/>
      <c r="K16" s="2"/>
      <c r="L16" s="2"/>
      <c r="M16" s="2"/>
    </row>
    <row r="17" customFormat="false" ht="15" hidden="false" customHeight="false" outlineLevel="0" collapsed="false">
      <c r="A17" s="2" t="n">
        <v>21495.3</v>
      </c>
      <c r="B17" s="2" t="n">
        <v>10</v>
      </c>
      <c r="C17" s="2" t="n">
        <v>0.01</v>
      </c>
      <c r="D17" s="2" t="n">
        <v>0.01743</v>
      </c>
      <c r="E17" s="2" t="n">
        <v>0.1599</v>
      </c>
      <c r="F17" s="2" t="n">
        <v>368.7</v>
      </c>
      <c r="G17" s="2" t="n">
        <v>62.1</v>
      </c>
      <c r="H17" s="2"/>
      <c r="I17" s="2"/>
      <c r="J17" s="2"/>
      <c r="K17" s="2"/>
      <c r="L17" s="2"/>
      <c r="M17" s="2"/>
    </row>
    <row r="18" customFormat="false" ht="15" hidden="false" customHeight="false" outlineLevel="0" collapsed="false">
      <c r="A18" s="2" t="n">
        <v>21495.3</v>
      </c>
      <c r="B18" s="2" t="n">
        <v>10</v>
      </c>
      <c r="C18" s="2" t="n">
        <v>0.02</v>
      </c>
      <c r="D18" s="2" t="n">
        <v>0.01743</v>
      </c>
      <c r="E18" s="2" t="n">
        <v>0.1599</v>
      </c>
      <c r="F18" s="2" t="n">
        <v>368.5</v>
      </c>
      <c r="G18" s="2" t="n">
        <v>69.2</v>
      </c>
      <c r="H18" s="2"/>
      <c r="I18" s="2"/>
      <c r="J18" s="2"/>
      <c r="K18" s="2"/>
      <c r="L18" s="2"/>
      <c r="M18" s="2"/>
    </row>
    <row r="19" customFormat="false" ht="15" hidden="false" customHeight="false" outlineLevel="0" collapsed="false">
      <c r="A19" s="2" t="n">
        <v>21495.3</v>
      </c>
      <c r="B19" s="2" t="n">
        <v>10</v>
      </c>
      <c r="C19" s="2" t="n">
        <v>0.05</v>
      </c>
      <c r="D19" s="2" t="n">
        <v>0.01743</v>
      </c>
      <c r="E19" s="2" t="n">
        <v>0.1599</v>
      </c>
      <c r="F19" s="2" t="n">
        <v>367.7</v>
      </c>
      <c r="G19" s="2" t="n">
        <v>85.6</v>
      </c>
      <c r="H19" s="2"/>
      <c r="I19" s="2"/>
      <c r="J19" s="2"/>
      <c r="K19" s="2"/>
      <c r="L19" s="2"/>
      <c r="M19" s="2"/>
    </row>
    <row r="20" customFormat="false" ht="15" hidden="false" customHeight="false" outlineLevel="0" collapsed="false">
      <c r="A20" s="2" t="n">
        <v>21495.3</v>
      </c>
      <c r="B20" s="2" t="n">
        <v>10</v>
      </c>
      <c r="C20" s="2" t="n">
        <v>0.1</v>
      </c>
      <c r="D20" s="2" t="n">
        <v>0.01743</v>
      </c>
      <c r="E20" s="2" t="n">
        <v>0.1599</v>
      </c>
      <c r="F20" s="2" t="n">
        <v>366.3</v>
      </c>
      <c r="G20" s="2" t="n">
        <v>103.8</v>
      </c>
      <c r="H20" s="2"/>
      <c r="I20" s="2"/>
      <c r="J20" s="2"/>
      <c r="K20" s="2"/>
      <c r="L20" s="2"/>
      <c r="M20" s="2"/>
    </row>
    <row r="21" customFormat="false" ht="15" hidden="false" customHeight="false" outlineLevel="0" collapsed="false">
      <c r="A21" s="2" t="n">
        <v>21495.3</v>
      </c>
      <c r="B21" s="2" t="n">
        <v>10</v>
      </c>
      <c r="C21" s="2" t="n">
        <v>0.2</v>
      </c>
      <c r="D21" s="2" t="n">
        <v>0.01743</v>
      </c>
      <c r="E21" s="2" t="n">
        <v>0.1599</v>
      </c>
      <c r="F21" s="2" t="n">
        <v>363.7</v>
      </c>
      <c r="G21" s="2" t="n">
        <v>125.2</v>
      </c>
      <c r="H21" s="2"/>
      <c r="I21" s="2"/>
      <c r="J21" s="2"/>
      <c r="K21" s="2"/>
      <c r="L21" s="2"/>
      <c r="M21" s="2"/>
    </row>
    <row r="22" customFormat="false" ht="15" hidden="false" customHeight="false" outlineLevel="0" collapsed="false">
      <c r="A22" s="2" t="n">
        <v>21495.3</v>
      </c>
      <c r="B22" s="2" t="n">
        <v>10</v>
      </c>
      <c r="C22" s="2" t="n">
        <v>0.5</v>
      </c>
      <c r="D22" s="2" t="n">
        <v>0.01743</v>
      </c>
      <c r="E22" s="2" t="n">
        <v>0.1599</v>
      </c>
      <c r="F22" s="2" t="n">
        <v>356.2</v>
      </c>
      <c r="G22" s="2" t="n">
        <v>152.4</v>
      </c>
      <c r="H22" s="2"/>
      <c r="I22" s="2"/>
      <c r="J22" s="2"/>
      <c r="K22" s="2"/>
      <c r="L22" s="2"/>
      <c r="M22" s="2"/>
    </row>
    <row r="23" customFormat="false" ht="15" hidden="false" customHeight="false" outlineLevel="0" collapsed="false">
      <c r="A23" s="2" t="n">
        <v>21495.3</v>
      </c>
      <c r="B23" s="2" t="n">
        <v>30</v>
      </c>
      <c r="C23" s="2" t="n">
        <v>0.005</v>
      </c>
      <c r="D23" s="2" t="n">
        <v>0.01743</v>
      </c>
      <c r="E23" s="2" t="n">
        <v>0.1599</v>
      </c>
      <c r="F23" s="2" t="n">
        <v>360.9</v>
      </c>
      <c r="G23" s="2" t="n">
        <v>58.2</v>
      </c>
      <c r="H23" s="2"/>
      <c r="I23" s="2"/>
      <c r="J23" s="2"/>
      <c r="K23" s="2"/>
      <c r="L23" s="2"/>
      <c r="M23" s="2"/>
    </row>
    <row r="24" customFormat="false" ht="15" hidden="false" customHeight="false" outlineLevel="0" collapsed="false">
      <c r="A24" s="2" t="n">
        <v>21495.3</v>
      </c>
      <c r="B24" s="2" t="n">
        <v>30</v>
      </c>
      <c r="C24" s="2" t="n">
        <v>0.01</v>
      </c>
      <c r="D24" s="2" t="n">
        <v>0.01743</v>
      </c>
      <c r="E24" s="2" t="n">
        <v>0.1599</v>
      </c>
      <c r="F24" s="2" t="n">
        <v>360.5</v>
      </c>
      <c r="G24" s="2" t="n">
        <v>62.2</v>
      </c>
      <c r="H24" s="2"/>
      <c r="I24" s="2"/>
      <c r="J24" s="2"/>
      <c r="K24" s="2"/>
      <c r="L24" s="2"/>
      <c r="M24" s="2"/>
    </row>
    <row r="25" customFormat="false" ht="15" hidden="false" customHeight="false" outlineLevel="0" collapsed="false">
      <c r="A25" s="2" t="n">
        <v>21495.3</v>
      </c>
      <c r="B25" s="2" t="n">
        <v>30</v>
      </c>
      <c r="C25" s="2" t="n">
        <v>0.02</v>
      </c>
      <c r="D25" s="2" t="n">
        <v>0.01743</v>
      </c>
      <c r="E25" s="2" t="n">
        <v>0.1599</v>
      </c>
      <c r="F25" s="2" t="n">
        <v>359.8</v>
      </c>
      <c r="G25" s="2" t="n">
        <v>69.2</v>
      </c>
      <c r="H25" s="2"/>
      <c r="I25" s="2"/>
      <c r="J25" s="2"/>
      <c r="K25" s="2"/>
      <c r="L25" s="2"/>
      <c r="M25" s="2"/>
    </row>
    <row r="26" customFormat="false" ht="15" hidden="false" customHeight="false" outlineLevel="0" collapsed="false">
      <c r="A26" s="2" t="n">
        <v>21495.3</v>
      </c>
      <c r="B26" s="2" t="n">
        <v>30</v>
      </c>
      <c r="C26" s="2" t="n">
        <v>0.05</v>
      </c>
      <c r="D26" s="2" t="n">
        <v>0.01743</v>
      </c>
      <c r="E26" s="2" t="n">
        <v>0.1599</v>
      </c>
      <c r="F26" s="2" t="n">
        <v>357.5</v>
      </c>
      <c r="G26" s="2" t="n">
        <v>85.7</v>
      </c>
      <c r="H26" s="2"/>
      <c r="I26" s="2"/>
      <c r="J26" s="2"/>
      <c r="K26" s="2"/>
      <c r="L26" s="2"/>
      <c r="M26" s="2"/>
    </row>
    <row r="27" customFormat="false" ht="15" hidden="false" customHeight="false" outlineLevel="0" collapsed="false">
      <c r="A27" s="2" t="n">
        <v>21495.3</v>
      </c>
      <c r="B27" s="2" t="n">
        <v>30</v>
      </c>
      <c r="C27" s="2" t="n">
        <v>0.1</v>
      </c>
      <c r="D27" s="2" t="n">
        <v>0.01743</v>
      </c>
      <c r="E27" s="2" t="n">
        <v>0.1599</v>
      </c>
      <c r="F27" s="2" t="n">
        <v>353.9</v>
      </c>
      <c r="G27" s="2" t="n">
        <v>104</v>
      </c>
      <c r="H27" s="2"/>
      <c r="I27" s="2"/>
      <c r="J27" s="2"/>
      <c r="K27" s="2"/>
      <c r="L27" s="2"/>
      <c r="M27" s="2"/>
    </row>
    <row r="28" customFormat="false" ht="15" hidden="false" customHeight="false" outlineLevel="0" collapsed="false">
      <c r="A28" s="2" t="n">
        <v>21495.3</v>
      </c>
      <c r="B28" s="2" t="n">
        <v>30</v>
      </c>
      <c r="C28" s="2" t="n">
        <v>0.2</v>
      </c>
      <c r="D28" s="2" t="n">
        <v>0.01743</v>
      </c>
      <c r="E28" s="2" t="n">
        <v>0.1599</v>
      </c>
      <c r="F28" s="2" t="n">
        <v>347.1</v>
      </c>
      <c r="G28" s="2" t="n">
        <v>125.4</v>
      </c>
      <c r="H28" s="2"/>
      <c r="I28" s="2"/>
      <c r="J28" s="2"/>
      <c r="K28" s="2"/>
      <c r="L28" s="2"/>
      <c r="M28" s="2"/>
    </row>
    <row r="29" customFormat="false" ht="15" hidden="false" customHeight="false" outlineLevel="0" collapsed="false">
      <c r="A29" s="2" t="n">
        <v>21495.3</v>
      </c>
      <c r="B29" s="2" t="n">
        <v>30</v>
      </c>
      <c r="C29" s="2" t="n">
        <v>0.5</v>
      </c>
      <c r="D29" s="2" t="n">
        <v>0.01743</v>
      </c>
      <c r="E29" s="2" t="n">
        <v>0.1599</v>
      </c>
      <c r="F29" s="2" t="n">
        <v>329.1</v>
      </c>
      <c r="G29" s="2" t="n">
        <v>152.8</v>
      </c>
      <c r="H29" s="2"/>
      <c r="I29" s="2"/>
      <c r="J29" s="2"/>
      <c r="K29" s="2"/>
      <c r="L29" s="2"/>
      <c r="M29" s="2"/>
    </row>
    <row r="30" customFormat="false" ht="15" hidden="false" customHeight="false" outlineLevel="0" collapsed="false">
      <c r="A30" s="2" t="n">
        <v>33222.9</v>
      </c>
      <c r="B30" s="2" t="n">
        <v>10</v>
      </c>
      <c r="C30" s="2" t="n">
        <v>0.005</v>
      </c>
      <c r="D30" s="2" t="n">
        <v>0.01743</v>
      </c>
      <c r="E30" s="2" t="n">
        <v>0.1599</v>
      </c>
      <c r="F30" s="2" t="n">
        <v>553.8</v>
      </c>
      <c r="G30" s="2" t="n">
        <v>73.9</v>
      </c>
      <c r="H30" s="2"/>
      <c r="I30" s="2"/>
      <c r="J30" s="2"/>
      <c r="K30" s="2"/>
      <c r="L30" s="2"/>
      <c r="M30" s="2"/>
    </row>
    <row r="31" customFormat="false" ht="15" hidden="false" customHeight="false" outlineLevel="0" collapsed="false">
      <c r="A31" s="2" t="n">
        <v>33222.9</v>
      </c>
      <c r="B31" s="2" t="n">
        <v>10</v>
      </c>
      <c r="C31" s="2" t="n">
        <v>0.01</v>
      </c>
      <c r="D31" s="2" t="n">
        <v>0.01743</v>
      </c>
      <c r="E31" s="2" t="n">
        <v>0.1599</v>
      </c>
      <c r="F31" s="2" t="n">
        <v>553.6</v>
      </c>
      <c r="G31" s="2" t="n">
        <v>79.1</v>
      </c>
      <c r="H31" s="2"/>
      <c r="I31" s="2"/>
      <c r="J31" s="2"/>
      <c r="K31" s="2"/>
      <c r="L31" s="2"/>
      <c r="M31" s="2"/>
    </row>
    <row r="32" customFormat="false" ht="15" hidden="false" customHeight="false" outlineLevel="0" collapsed="false">
      <c r="A32" s="2" t="n">
        <v>33222.9</v>
      </c>
      <c r="B32" s="2" t="n">
        <v>10</v>
      </c>
      <c r="C32" s="2" t="n">
        <v>0.02</v>
      </c>
      <c r="D32" s="2" t="n">
        <v>0.01743</v>
      </c>
      <c r="E32" s="2" t="n">
        <v>0.1599</v>
      </c>
      <c r="F32" s="2" t="n">
        <v>553.2</v>
      </c>
      <c r="G32" s="2" t="n">
        <v>88.4</v>
      </c>
      <c r="H32" s="2"/>
      <c r="I32" s="2"/>
      <c r="J32" s="2"/>
      <c r="K32" s="2"/>
      <c r="L32" s="2"/>
      <c r="M32" s="2"/>
    </row>
    <row r="33" customFormat="false" ht="15" hidden="false" customHeight="false" outlineLevel="0" collapsed="false">
      <c r="A33" s="2" t="n">
        <v>33222.9</v>
      </c>
      <c r="B33" s="2" t="n">
        <v>10</v>
      </c>
      <c r="C33" s="2" t="n">
        <v>0.05</v>
      </c>
      <c r="D33" s="2" t="n">
        <v>0.01743</v>
      </c>
      <c r="E33" s="2" t="n">
        <v>0.1599</v>
      </c>
      <c r="F33" s="2" t="n">
        <v>552</v>
      </c>
      <c r="G33" s="2" t="n">
        <v>110.7</v>
      </c>
      <c r="H33" s="2"/>
      <c r="I33" s="2"/>
      <c r="J33" s="2"/>
      <c r="K33" s="2"/>
      <c r="L33" s="2"/>
      <c r="M33" s="2"/>
    </row>
    <row r="34" customFormat="false" ht="15" hidden="false" customHeight="false" outlineLevel="0" collapsed="false">
      <c r="A34" s="2" t="n">
        <v>33222.9</v>
      </c>
      <c r="B34" s="2" t="n">
        <v>10</v>
      </c>
      <c r="C34" s="2" t="n">
        <v>0.1</v>
      </c>
      <c r="D34" s="2" t="n">
        <v>0.01743</v>
      </c>
      <c r="E34" s="2" t="n">
        <v>0.1599</v>
      </c>
      <c r="F34" s="2" t="n">
        <v>549.9</v>
      </c>
      <c r="G34" s="2" t="n">
        <v>136.5</v>
      </c>
      <c r="H34" s="2"/>
      <c r="I34" s="2"/>
      <c r="J34" s="2"/>
      <c r="K34" s="2"/>
      <c r="L34" s="2"/>
      <c r="M34" s="2"/>
    </row>
    <row r="35" customFormat="false" ht="15" hidden="false" customHeight="false" outlineLevel="0" collapsed="false">
      <c r="A35" s="2" t="n">
        <v>33222.9</v>
      </c>
      <c r="B35" s="2" t="n">
        <v>10</v>
      </c>
      <c r="C35" s="2" t="n">
        <v>0.2</v>
      </c>
      <c r="D35" s="2" t="n">
        <v>0.01743</v>
      </c>
      <c r="E35" s="2" t="n">
        <v>0.1599</v>
      </c>
      <c r="F35" s="2" t="n">
        <v>546</v>
      </c>
      <c r="G35" s="2" t="n">
        <v>168.1</v>
      </c>
      <c r="H35" s="2"/>
      <c r="I35" s="2"/>
      <c r="J35" s="2"/>
      <c r="K35" s="2"/>
      <c r="L35" s="2"/>
      <c r="M35" s="2"/>
    </row>
    <row r="36" customFormat="false" ht="15" hidden="false" customHeight="false" outlineLevel="0" collapsed="false">
      <c r="A36" s="2" t="n">
        <v>33222.9</v>
      </c>
      <c r="B36" s="2" t="n">
        <v>10</v>
      </c>
      <c r="C36" s="2" t="n">
        <v>0.5</v>
      </c>
      <c r="D36" s="2" t="n">
        <v>0.01743</v>
      </c>
      <c r="E36" s="2" t="n">
        <v>0.1599</v>
      </c>
      <c r="F36" s="2" t="n">
        <v>534.6</v>
      </c>
      <c r="G36" s="2" t="n">
        <v>211.2</v>
      </c>
      <c r="H36" s="2" t="n">
        <v>57.46</v>
      </c>
      <c r="I36" s="2" t="n">
        <v>69.64</v>
      </c>
      <c r="J36" s="2" t="n">
        <v>87.96</v>
      </c>
      <c r="K36" s="2"/>
      <c r="L36" s="2"/>
      <c r="M36" s="2"/>
    </row>
    <row r="37" customFormat="false" ht="15" hidden="false" customHeight="false" outlineLevel="0" collapsed="false">
      <c r="A37" s="2" t="n">
        <v>33222.9</v>
      </c>
      <c r="B37" s="2" t="n">
        <v>30</v>
      </c>
      <c r="C37" s="2" t="n">
        <v>0.005</v>
      </c>
      <c r="D37" s="2" t="n">
        <v>0.01743</v>
      </c>
      <c r="E37" s="2" t="n">
        <v>0.1599</v>
      </c>
      <c r="F37" s="2" t="n">
        <v>537</v>
      </c>
      <c r="G37" s="2" t="n">
        <v>74</v>
      </c>
      <c r="H37" s="2"/>
      <c r="I37" s="2"/>
      <c r="J37" s="2"/>
      <c r="K37" s="2"/>
      <c r="L37" s="2"/>
      <c r="M37" s="2"/>
    </row>
    <row r="38" customFormat="false" ht="15" hidden="false" customHeight="false" outlineLevel="0" collapsed="false">
      <c r="A38" s="2" t="n">
        <v>33222.9</v>
      </c>
      <c r="B38" s="2" t="n">
        <v>30</v>
      </c>
      <c r="C38" s="2" t="n">
        <v>0.01</v>
      </c>
      <c r="D38" s="2" t="n">
        <v>0.01743</v>
      </c>
      <c r="E38" s="2" t="n">
        <v>0.1599</v>
      </c>
      <c r="F38" s="2" t="n">
        <v>536.5</v>
      </c>
      <c r="G38" s="2" t="n">
        <v>79.2</v>
      </c>
      <c r="H38" s="2"/>
      <c r="I38" s="2"/>
      <c r="J38" s="2"/>
      <c r="K38" s="2"/>
      <c r="L38" s="2"/>
      <c r="M38" s="2"/>
    </row>
    <row r="39" customFormat="false" ht="15" hidden="false" customHeight="false" outlineLevel="0" collapsed="false">
      <c r="A39" s="2" t="n">
        <v>33222.9</v>
      </c>
      <c r="B39" s="2" t="n">
        <v>30</v>
      </c>
      <c r="C39" s="2" t="n">
        <v>0.02</v>
      </c>
      <c r="D39" s="2" t="n">
        <v>0.01743</v>
      </c>
      <c r="E39" s="2" t="n">
        <v>0.1599</v>
      </c>
      <c r="F39" s="2" t="n">
        <v>535.4</v>
      </c>
      <c r="G39" s="2" t="n">
        <v>88.6</v>
      </c>
      <c r="H39" s="2"/>
      <c r="I39" s="2"/>
      <c r="J39" s="2"/>
      <c r="K39" s="2"/>
      <c r="L39" s="2"/>
      <c r="M39" s="2"/>
    </row>
    <row r="40" customFormat="false" ht="15" hidden="false" customHeight="false" outlineLevel="0" collapsed="false">
      <c r="A40" s="2" t="n">
        <v>33222.9</v>
      </c>
      <c r="B40" s="2" t="n">
        <v>30</v>
      </c>
      <c r="C40" s="2" t="n">
        <v>0.05</v>
      </c>
      <c r="D40" s="2" t="n">
        <v>0.01743</v>
      </c>
      <c r="E40" s="2" t="n">
        <v>0.1599</v>
      </c>
      <c r="F40" s="2" t="n">
        <v>532.1</v>
      </c>
      <c r="G40" s="2" t="n">
        <v>111.1</v>
      </c>
      <c r="H40" s="2"/>
      <c r="I40" s="2"/>
      <c r="J40" s="2"/>
      <c r="K40" s="2"/>
      <c r="L40" s="2"/>
      <c r="M40" s="2"/>
    </row>
    <row r="41" customFormat="false" ht="15" hidden="false" customHeight="false" outlineLevel="0" collapsed="false">
      <c r="A41" s="2" t="n">
        <v>33222.9</v>
      </c>
      <c r="B41" s="2" t="n">
        <v>30</v>
      </c>
      <c r="C41" s="2" t="n">
        <v>0.1</v>
      </c>
      <c r="D41" s="2" t="n">
        <v>0.01743</v>
      </c>
      <c r="E41" s="2" t="n">
        <v>0.1599</v>
      </c>
      <c r="F41" s="2" t="n">
        <v>526.8</v>
      </c>
      <c r="G41" s="2" t="n">
        <v>137.1</v>
      </c>
      <c r="H41" s="2"/>
      <c r="I41" s="2"/>
      <c r="J41" s="2"/>
      <c r="K41" s="2"/>
      <c r="L41" s="2"/>
      <c r="M41" s="2"/>
    </row>
    <row r="42" customFormat="false" ht="15" hidden="false" customHeight="false" outlineLevel="0" collapsed="false">
      <c r="A42" s="2" t="n">
        <v>33222.9</v>
      </c>
      <c r="B42" s="2" t="n">
        <v>30</v>
      </c>
      <c r="C42" s="2" t="n">
        <v>0.2</v>
      </c>
      <c r="D42" s="2" t="n">
        <v>0.01743</v>
      </c>
      <c r="E42" s="2" t="n">
        <v>0.1599</v>
      </c>
      <c r="F42" s="2" t="n">
        <v>516.7</v>
      </c>
      <c r="G42" s="2" t="n">
        <v>168.9</v>
      </c>
      <c r="H42" s="2"/>
      <c r="I42" s="2"/>
      <c r="J42" s="2"/>
      <c r="K42" s="2"/>
      <c r="L42" s="2"/>
      <c r="M42" s="2"/>
    </row>
    <row r="43" customFormat="false" ht="15" hidden="false" customHeight="false" outlineLevel="0" collapsed="false">
      <c r="A43" s="2" t="n">
        <v>33222.9</v>
      </c>
      <c r="B43" s="2" t="n">
        <v>30</v>
      </c>
      <c r="C43" s="2" t="n">
        <v>0.5</v>
      </c>
      <c r="D43" s="2" t="n">
        <v>0.01743</v>
      </c>
      <c r="E43" s="2" t="n">
        <v>0.1599</v>
      </c>
      <c r="F43" s="2" t="n">
        <v>490.1</v>
      </c>
      <c r="G43" s="2" t="n">
        <v>212.3</v>
      </c>
      <c r="H43" s="2" t="n">
        <v>67.3</v>
      </c>
      <c r="I43" s="2" t="n">
        <v>79.17</v>
      </c>
      <c r="J43" s="2" t="n">
        <v>96.76</v>
      </c>
      <c r="K43" s="2"/>
      <c r="L43" s="2"/>
      <c r="M4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3"/>
    <col collapsed="false" customWidth="true" hidden="false" outlineLevel="0" max="5" min="4" style="0" width="17"/>
    <col collapsed="false" customWidth="true" hidden="false" outlineLevel="0" max="6" min="6" style="0" width="24"/>
    <col collapsed="false" customWidth="true" hidden="false" outlineLevel="0" max="7" min="7" style="0" width="23"/>
    <col collapsed="false" customWidth="true" hidden="false" outlineLevel="0" max="8" min="8" style="0" width="31"/>
    <col collapsed="false" customWidth="true" hidden="false" outlineLevel="0" max="9" min="9" style="0" width="23"/>
    <col collapsed="false" customWidth="true" hidden="false" outlineLevel="0" max="10" min="10" style="0" width="24"/>
    <col collapsed="false" customWidth="true" hidden="false" outlineLevel="0" max="11" min="11" style="0" width="27"/>
    <col collapsed="false" customWidth="true" hidden="false" outlineLevel="0" max="12" min="12" style="0" width="33"/>
    <col collapsed="false" customWidth="true" hidden="false" outlineLevel="0" max="13" min="13" style="0" width="34"/>
    <col collapsed="false" customWidth="true" hidden="false" outlineLevel="0" max="14" min="14" style="0" width="30"/>
    <col collapsed="false" customWidth="true" hidden="false" outlineLevel="0" max="15" min="15" style="0" width="34"/>
    <col collapsed="false" customWidth="true" hidden="false" outlineLevel="0" max="16" min="16" style="0" width="28"/>
    <col collapsed="false" customWidth="true" hidden="false" outlineLevel="0" max="18" min="17" style="0" width="34"/>
    <col collapsed="false" customWidth="true" hidden="false" outlineLevel="0" max="19" min="19" style="0" width="31"/>
    <col collapsed="false" customWidth="true" hidden="false" outlineLevel="0" max="20" min="20" style="0" width="34"/>
    <col collapsed="false" customWidth="true" hidden="false" outlineLevel="0" max="21" min="21" style="0" width="28"/>
    <col collapsed="false" customWidth="true" hidden="false" outlineLevel="0" max="23" min="22" style="0" width="34"/>
    <col collapsed="false" customWidth="true" hidden="false" outlineLevel="0" max="24" min="24" style="0" width="31"/>
    <col collapsed="false" customWidth="true" hidden="false" outlineLevel="0" max="25" min="25" style="0" width="34"/>
    <col collapsed="false" customWidth="true" hidden="false" outlineLevel="0" max="26" min="26" style="0" width="25"/>
    <col collapsed="false" customWidth="true" hidden="false" outlineLevel="0" max="27" min="27" style="0" width="31"/>
    <col collapsed="false" customWidth="true" hidden="false" outlineLevel="0" max="28" min="28" style="0" width="32"/>
    <col collapsed="false" customWidth="true" hidden="false" outlineLevel="0" max="29" min="29" style="0" width="28"/>
    <col collapsed="false" customWidth="true" hidden="false" outlineLevel="0" max="30" min="30" style="0" width="34"/>
    <col collapsed="false" customWidth="true" hidden="false" outlineLevel="0" max="31" min="31" style="0" width="26"/>
    <col collapsed="false" customWidth="true" hidden="false" outlineLevel="0" max="32" min="32" style="0" width="32"/>
    <col collapsed="false" customWidth="true" hidden="false" outlineLevel="0" max="33" min="33" style="0" width="33"/>
    <col collapsed="false" customWidth="true" hidden="false" outlineLevel="0" max="34" min="34" style="0" width="29"/>
    <col collapsed="false" customWidth="true" hidden="false" outlineLevel="0" max="35" min="35" style="0" width="34"/>
    <col collapsed="false" customWidth="true" hidden="false" outlineLevel="0" max="36" min="36" style="0" width="26"/>
    <col collapsed="false" customWidth="true" hidden="false" outlineLevel="0" max="37" min="37" style="0" width="32"/>
    <col collapsed="false" customWidth="true" hidden="false" outlineLevel="0" max="38" min="38" style="0" width="33"/>
    <col collapsed="false" customWidth="true" hidden="false" outlineLevel="0" max="39" min="39" style="0" width="29"/>
    <col collapsed="false" customWidth="true" hidden="false" outlineLevel="0" max="40" min="40" style="0" width="34"/>
    <col collapsed="false" customWidth="true" hidden="false" outlineLevel="0" max="41" min="41" style="0" width="27"/>
    <col collapsed="false" customWidth="true" hidden="false" outlineLevel="0" max="42" min="42" style="0" width="34"/>
    <col collapsed="false" customWidth="true" hidden="false" outlineLevel="0" max="43" min="43" style="0" width="17"/>
  </cols>
  <sheetData>
    <row r="1" customFormat="false" ht="23.85" hidden="false" customHeight="false" outlineLevel="0" collapsed="false">
      <c r="A1" s="3" t="s">
        <v>10</v>
      </c>
      <c r="B1" s="3" t="s">
        <v>11</v>
      </c>
      <c r="C1" s="3" t="s">
        <v>12</v>
      </c>
      <c r="D1" s="3" t="s">
        <v>23</v>
      </c>
      <c r="E1" s="3" t="s">
        <v>24</v>
      </c>
      <c r="F1" s="3" t="s">
        <v>25</v>
      </c>
      <c r="G1" s="3" t="s">
        <v>26</v>
      </c>
      <c r="H1" s="3" t="s">
        <v>27</v>
      </c>
      <c r="I1" s="3" t="s">
        <v>28</v>
      </c>
      <c r="J1" s="3" t="s">
        <v>29</v>
      </c>
      <c r="K1" s="3" t="s">
        <v>30</v>
      </c>
      <c r="L1" s="3" t="s">
        <v>31</v>
      </c>
      <c r="M1" s="3" t="s">
        <v>32</v>
      </c>
      <c r="N1" s="3" t="s">
        <v>33</v>
      </c>
      <c r="O1" s="3" t="s">
        <v>34</v>
      </c>
      <c r="P1" s="3" t="s">
        <v>35</v>
      </c>
      <c r="Q1" s="3" t="s">
        <v>36</v>
      </c>
      <c r="R1" s="3" t="s">
        <v>37</v>
      </c>
      <c r="S1" s="3" t="s">
        <v>38</v>
      </c>
      <c r="T1" s="3" t="s">
        <v>39</v>
      </c>
      <c r="U1" s="3" t="s">
        <v>40</v>
      </c>
      <c r="V1" s="3" t="s">
        <v>41</v>
      </c>
      <c r="W1" s="3" t="s">
        <v>42</v>
      </c>
      <c r="X1" s="3" t="s">
        <v>43</v>
      </c>
      <c r="Y1" s="3" t="s">
        <v>44</v>
      </c>
      <c r="Z1" s="3" t="s">
        <v>45</v>
      </c>
      <c r="AA1" s="3" t="s">
        <v>46</v>
      </c>
      <c r="AB1" s="3" t="s">
        <v>47</v>
      </c>
      <c r="AC1" s="3" t="s">
        <v>48</v>
      </c>
      <c r="AD1" s="3" t="s">
        <v>49</v>
      </c>
      <c r="AE1" s="3" t="s">
        <v>50</v>
      </c>
      <c r="AF1" s="3" t="s">
        <v>51</v>
      </c>
      <c r="AG1" s="3" t="s">
        <v>52</v>
      </c>
      <c r="AH1" s="3" t="s">
        <v>53</v>
      </c>
      <c r="AI1" s="3" t="s">
        <v>54</v>
      </c>
      <c r="AJ1" s="3" t="s">
        <v>55</v>
      </c>
      <c r="AK1" s="3" t="s">
        <v>56</v>
      </c>
      <c r="AL1" s="3" t="s">
        <v>57</v>
      </c>
      <c r="AM1" s="3" t="s">
        <v>58</v>
      </c>
      <c r="AN1" s="3" t="s">
        <v>59</v>
      </c>
      <c r="AO1" s="3" t="s">
        <v>60</v>
      </c>
      <c r="AP1" s="3" t="s">
        <v>61</v>
      </c>
      <c r="AQ1" s="3" t="s">
        <v>62</v>
      </c>
    </row>
    <row r="2" customFormat="false" ht="15" hidden="false" customHeight="false" outlineLevel="0" collapsed="false">
      <c r="A2" s="2" t="n">
        <v>8751.3</v>
      </c>
      <c r="B2" s="2" t="n">
        <v>10</v>
      </c>
      <c r="C2" s="2" t="n">
        <v>0.005</v>
      </c>
      <c r="D2" s="2" t="n">
        <v>165.5</v>
      </c>
      <c r="E2" s="2" t="n">
        <v>39.3</v>
      </c>
      <c r="F2" s="2" t="n">
        <v>39.08</v>
      </c>
      <c r="G2" s="2" t="n">
        <v>40.08</v>
      </c>
      <c r="H2" s="2" t="n">
        <v>578.3</v>
      </c>
      <c r="I2" s="2" t="s">
        <v>63</v>
      </c>
      <c r="J2" s="2" t="s">
        <v>63</v>
      </c>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4" t="str">
        <f aca="false">IF(AND(ISNUMBER(P2),ISNUMBER(Q2)),P2-Q2,"")</f>
        <v/>
      </c>
      <c r="AP2" s="4" t="str">
        <f aca="false">IF(AND(ISNUMBER(P2),ISNUMBER(Q2)),P2/Q2,"")</f>
        <v/>
      </c>
      <c r="AQ2" s="2" t="n">
        <v>1.2E-011</v>
      </c>
    </row>
    <row r="3" customFormat="false" ht="15" hidden="false" customHeight="false" outlineLevel="0" collapsed="false">
      <c r="A3" s="2" t="n">
        <v>8751.3</v>
      </c>
      <c r="B3" s="2" t="n">
        <v>10</v>
      </c>
      <c r="C3" s="2" t="n">
        <v>0.01</v>
      </c>
      <c r="D3" s="2" t="n">
        <v>165.4</v>
      </c>
      <c r="E3" s="2" t="n">
        <v>41.2</v>
      </c>
      <c r="F3" s="2" t="n">
        <v>40.95</v>
      </c>
      <c r="G3" s="2" t="n">
        <v>42.24</v>
      </c>
      <c r="H3" s="2" t="n">
        <v>565.5</v>
      </c>
      <c r="I3" s="2" t="s">
        <v>64</v>
      </c>
      <c r="J3" s="2" t="s">
        <v>65</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4" t="str">
        <f aca="false">IF(AND(ISNUMBER(P3),ISNUMBER(Q3)),P3-Q3,"")</f>
        <v/>
      </c>
      <c r="AP3" s="4" t="str">
        <f aca="false">IF(AND(ISNUMBER(P3),ISNUMBER(Q3)),P3/Q3,"")</f>
        <v/>
      </c>
      <c r="AQ3" s="2" t="n">
        <v>1.09E-011</v>
      </c>
    </row>
    <row r="4" customFormat="false" ht="15" hidden="false" customHeight="false" outlineLevel="0" collapsed="false">
      <c r="A4" s="2" t="n">
        <v>8751.3</v>
      </c>
      <c r="B4" s="2" t="n">
        <v>10</v>
      </c>
      <c r="C4" s="2" t="n">
        <v>0.02</v>
      </c>
      <c r="D4" s="2" t="n">
        <v>165.3</v>
      </c>
      <c r="E4" s="2" t="n">
        <v>44.5</v>
      </c>
      <c r="F4" s="2" t="n">
        <v>44.12</v>
      </c>
      <c r="G4" s="2" t="n">
        <v>46.7</v>
      </c>
      <c r="H4" s="2" t="n">
        <v>475.7</v>
      </c>
      <c r="I4" s="2" t="s">
        <v>64</v>
      </c>
      <c r="J4" s="2" t="s">
        <v>65</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4" t="str">
        <f aca="false">IF(AND(ISNUMBER(P4),ISNUMBER(Q4)),P4-Q4,"")</f>
        <v/>
      </c>
      <c r="AP4" s="4" t="str">
        <f aca="false">IF(AND(ISNUMBER(P4),ISNUMBER(Q4)),P4/Q4,"")</f>
        <v/>
      </c>
      <c r="AQ4" s="2" t="n">
        <v>9.4E-012</v>
      </c>
    </row>
    <row r="5" customFormat="false" ht="15" hidden="false" customHeight="false" outlineLevel="0" collapsed="false">
      <c r="A5" s="2" t="n">
        <v>8751.3</v>
      </c>
      <c r="B5" s="2" t="n">
        <v>10</v>
      </c>
      <c r="C5" s="2" t="n">
        <v>0.05</v>
      </c>
      <c r="D5" s="2" t="n">
        <v>165</v>
      </c>
      <c r="E5" s="2" t="n">
        <v>52</v>
      </c>
      <c r="F5" s="2" t="n">
        <v>50.78</v>
      </c>
      <c r="G5" s="2" t="n">
        <v>56.59</v>
      </c>
      <c r="H5" s="2" t="n">
        <v>310.3</v>
      </c>
      <c r="I5" s="2" t="s">
        <v>64</v>
      </c>
      <c r="J5" s="2" t="s">
        <v>65</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4" t="str">
        <f aca="false">IF(AND(ISNUMBER(P5),ISNUMBER(Q5)),P5-Q5,"")</f>
        <v/>
      </c>
      <c r="AP5" s="4" t="str">
        <f aca="false">IF(AND(ISNUMBER(P5),ISNUMBER(Q5)),P5/Q5,"")</f>
        <v/>
      </c>
      <c r="AQ5" s="2" t="n">
        <v>7.83E-012</v>
      </c>
    </row>
    <row r="6" customFormat="false" ht="15" hidden="false" customHeight="false" outlineLevel="0" collapsed="false">
      <c r="A6" s="2" t="n">
        <v>8751.3</v>
      </c>
      <c r="B6" s="2" t="n">
        <v>10</v>
      </c>
      <c r="C6" s="2" t="n">
        <v>0.1</v>
      </c>
      <c r="D6" s="2" t="n">
        <v>164.4</v>
      </c>
      <c r="E6" s="2" t="n">
        <v>60</v>
      </c>
      <c r="F6" s="2" t="n">
        <v>57</v>
      </c>
      <c r="G6" s="2" t="n">
        <v>67.6</v>
      </c>
      <c r="H6" s="2" t="n">
        <v>134.8</v>
      </c>
      <c r="I6" s="2" t="s">
        <v>64</v>
      </c>
      <c r="J6" s="2" t="s">
        <v>65</v>
      </c>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4" t="str">
        <f aca="false">IF(AND(ISNUMBER(P6),ISNUMBER(Q6)),P6-Q6,"")</f>
        <v/>
      </c>
      <c r="AP6" s="4" t="str">
        <f aca="false">IF(AND(ISNUMBER(P6),ISNUMBER(Q6)),P6/Q6,"")</f>
        <v/>
      </c>
      <c r="AQ6" s="2" t="n">
        <v>7.12E-012</v>
      </c>
    </row>
    <row r="7" customFormat="false" ht="15" hidden="false" customHeight="false" outlineLevel="0" collapsed="false">
      <c r="A7" s="2" t="n">
        <v>8751.3</v>
      </c>
      <c r="B7" s="2" t="n">
        <v>10</v>
      </c>
      <c r="C7" s="2" t="n">
        <v>0.2</v>
      </c>
      <c r="D7" s="2" t="n">
        <v>163.4</v>
      </c>
      <c r="E7" s="2" t="n">
        <v>68.9</v>
      </c>
      <c r="F7" s="2" t="n">
        <v>62.61</v>
      </c>
      <c r="G7" s="2" t="n">
        <v>86.78</v>
      </c>
      <c r="H7" s="2" t="n">
        <v>29.3</v>
      </c>
      <c r="I7" s="2" t="s">
        <v>64</v>
      </c>
      <c r="J7" s="2" t="s">
        <v>65</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4" t="str">
        <f aca="false">IF(AND(ISNUMBER(P7),ISNUMBER(Q7)),P7-Q7,"")</f>
        <v/>
      </c>
      <c r="AP7" s="4" t="str">
        <f aca="false">IF(AND(ISNUMBER(P7),ISNUMBER(Q7)),P7/Q7,"")</f>
        <v/>
      </c>
      <c r="AQ7" s="2" t="n">
        <v>6.88E-012</v>
      </c>
    </row>
    <row r="8" customFormat="false" ht="15" hidden="false" customHeight="false" outlineLevel="0" collapsed="false">
      <c r="A8" s="2" t="n">
        <v>8751.3</v>
      </c>
      <c r="B8" s="2" t="n">
        <v>10</v>
      </c>
      <c r="C8" s="2" t="n">
        <v>0.5</v>
      </c>
      <c r="D8" s="2" t="n">
        <v>160.3</v>
      </c>
      <c r="E8" s="2" t="n">
        <v>79.5</v>
      </c>
      <c r="F8" s="2" t="n">
        <v>67.28</v>
      </c>
      <c r="G8" s="2" t="n">
        <v>113.82</v>
      </c>
      <c r="H8" s="2" t="n">
        <v>15.9</v>
      </c>
      <c r="I8" s="2" t="s">
        <v>64</v>
      </c>
      <c r="J8" s="2" t="s">
        <v>65</v>
      </c>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4" t="str">
        <f aca="false">IF(AND(ISNUMBER(P8),ISNUMBER(Q8)),P8-Q8,"")</f>
        <v/>
      </c>
      <c r="AP8" s="4" t="str">
        <f aca="false">IF(AND(ISNUMBER(P8),ISNUMBER(Q8)),P8/Q8,"")</f>
        <v/>
      </c>
      <c r="AQ8" s="2" t="n">
        <v>6.81E-012</v>
      </c>
    </row>
    <row r="9" customFormat="false" ht="15" hidden="false" customHeight="false" outlineLevel="0" collapsed="false">
      <c r="A9" s="2" t="n">
        <v>8751.3</v>
      </c>
      <c r="B9" s="2" t="n">
        <v>30</v>
      </c>
      <c r="C9" s="2" t="n">
        <v>0.005</v>
      </c>
      <c r="D9" s="2" t="n">
        <v>163.1</v>
      </c>
      <c r="E9" s="2" t="n">
        <v>39.3</v>
      </c>
      <c r="F9" s="2" t="n">
        <v>39.09</v>
      </c>
      <c r="G9" s="2" t="n">
        <v>40.08</v>
      </c>
      <c r="H9" s="2" t="n">
        <v>588.5</v>
      </c>
      <c r="I9" s="2" t="s">
        <v>63</v>
      </c>
      <c r="J9" s="2" t="s">
        <v>63</v>
      </c>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4" t="str">
        <f aca="false">IF(AND(ISNUMBER(P9),ISNUMBER(Q9)),P9-Q9,"")</f>
        <v/>
      </c>
      <c r="AP9" s="4" t="str">
        <f aca="false">IF(AND(ISNUMBER(P9),ISNUMBER(Q9)),P9/Q9,"")</f>
        <v/>
      </c>
      <c r="AQ9" s="2" t="n">
        <v>1.19E-011</v>
      </c>
    </row>
    <row r="10" customFormat="false" ht="15" hidden="false" customHeight="false" outlineLevel="0" collapsed="false">
      <c r="A10" s="2" t="n">
        <v>8751.3</v>
      </c>
      <c r="B10" s="2" t="n">
        <v>30</v>
      </c>
      <c r="C10" s="2" t="n">
        <v>0.01</v>
      </c>
      <c r="D10" s="2" t="n">
        <v>163</v>
      </c>
      <c r="E10" s="2" t="n">
        <v>41.2</v>
      </c>
      <c r="F10" s="2" t="n">
        <v>40.95</v>
      </c>
      <c r="G10" s="2" t="n">
        <v>42.25</v>
      </c>
      <c r="H10" s="2" t="n">
        <v>575.8</v>
      </c>
      <c r="I10" s="2" t="s">
        <v>64</v>
      </c>
      <c r="J10" s="2" t="s">
        <v>65</v>
      </c>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4" t="str">
        <f aca="false">IF(AND(ISNUMBER(P10),ISNUMBER(Q10)),P10-Q10,"")</f>
        <v/>
      </c>
      <c r="AP10" s="4" t="str">
        <f aca="false">IF(AND(ISNUMBER(P10),ISNUMBER(Q10)),P10/Q10,"")</f>
        <v/>
      </c>
      <c r="AQ10" s="2" t="n">
        <v>1.08E-011</v>
      </c>
    </row>
    <row r="11" customFormat="false" ht="15" hidden="false" customHeight="false" outlineLevel="0" collapsed="false">
      <c r="A11" s="2" t="n">
        <v>8751.3</v>
      </c>
      <c r="B11" s="2" t="n">
        <v>30</v>
      </c>
      <c r="C11" s="2" t="n">
        <v>0.02</v>
      </c>
      <c r="D11" s="2" t="n">
        <v>162.6</v>
      </c>
      <c r="E11" s="2" t="n">
        <v>44.5</v>
      </c>
      <c r="F11" s="2" t="n">
        <v>44.13</v>
      </c>
      <c r="G11" s="2" t="n">
        <v>46.72</v>
      </c>
      <c r="H11" s="2" t="n">
        <v>486</v>
      </c>
      <c r="I11" s="2" t="s">
        <v>64</v>
      </c>
      <c r="J11" s="2" t="s">
        <v>65</v>
      </c>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4" t="str">
        <f aca="false">IF(AND(ISNUMBER(P11),ISNUMBER(Q11)),P11-Q11,"")</f>
        <v/>
      </c>
      <c r="AP11" s="4" t="str">
        <f aca="false">IF(AND(ISNUMBER(P11),ISNUMBER(Q11)),P11/Q11,"")</f>
        <v/>
      </c>
      <c r="AQ11" s="2" t="n">
        <v>9.38E-012</v>
      </c>
    </row>
    <row r="12" customFormat="false" ht="15" hidden="false" customHeight="false" outlineLevel="0" collapsed="false">
      <c r="A12" s="2" t="n">
        <v>8751.3</v>
      </c>
      <c r="B12" s="2" t="n">
        <v>30</v>
      </c>
      <c r="C12" s="2" t="n">
        <v>0.05</v>
      </c>
      <c r="D12" s="2" t="n">
        <v>161.7</v>
      </c>
      <c r="E12" s="2" t="n">
        <v>52</v>
      </c>
      <c r="F12" s="2" t="n">
        <v>50.8</v>
      </c>
      <c r="G12" s="2" t="n">
        <v>56.61</v>
      </c>
      <c r="H12" s="2" t="n">
        <v>320.4</v>
      </c>
      <c r="I12" s="2" t="s">
        <v>64</v>
      </c>
      <c r="J12" s="2" t="s">
        <v>65</v>
      </c>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4" t="str">
        <f aca="false">IF(AND(ISNUMBER(P12),ISNUMBER(Q12)),P12-Q12,"")</f>
        <v/>
      </c>
      <c r="AP12" s="4" t="str">
        <f aca="false">IF(AND(ISNUMBER(P12),ISNUMBER(Q12)),P12/Q12,"")</f>
        <v/>
      </c>
      <c r="AQ12" s="2" t="n">
        <v>7.74E-012</v>
      </c>
    </row>
    <row r="13" customFormat="false" ht="15" hidden="false" customHeight="false" outlineLevel="0" collapsed="false">
      <c r="A13" s="2" t="n">
        <v>8751.3</v>
      </c>
      <c r="B13" s="2" t="n">
        <v>30</v>
      </c>
      <c r="C13" s="2" t="n">
        <v>0.1</v>
      </c>
      <c r="D13" s="2" t="n">
        <v>160.2</v>
      </c>
      <c r="E13" s="2" t="n">
        <v>60</v>
      </c>
      <c r="F13" s="2" t="n">
        <v>57.02</v>
      </c>
      <c r="G13" s="2" t="n">
        <v>67.63</v>
      </c>
      <c r="H13" s="2" t="n">
        <v>144.9</v>
      </c>
      <c r="I13" s="2" t="s">
        <v>64</v>
      </c>
      <c r="J13" s="2" t="s">
        <v>65</v>
      </c>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4" t="str">
        <f aca="false">IF(AND(ISNUMBER(P13),ISNUMBER(Q13)),P13-Q13,"")</f>
        <v/>
      </c>
      <c r="AP13" s="4" t="str">
        <f aca="false">IF(AND(ISNUMBER(P13),ISNUMBER(Q13)),P13/Q13,"")</f>
        <v/>
      </c>
      <c r="AQ13" s="2" t="n">
        <v>7.05E-012</v>
      </c>
    </row>
    <row r="14" customFormat="false" ht="15" hidden="false" customHeight="false" outlineLevel="0" collapsed="false">
      <c r="A14" s="2" t="n">
        <v>8751.3</v>
      </c>
      <c r="B14" s="2" t="n">
        <v>30</v>
      </c>
      <c r="C14" s="2" t="n">
        <v>0.2</v>
      </c>
      <c r="D14" s="2" t="n">
        <v>157.3</v>
      </c>
      <c r="E14" s="2" t="n">
        <v>68.9</v>
      </c>
      <c r="F14" s="2" t="n">
        <v>62.63</v>
      </c>
      <c r="G14" s="2" t="n">
        <v>86.62</v>
      </c>
      <c r="H14" s="2" t="n">
        <v>41.5</v>
      </c>
      <c r="I14" s="2" t="s">
        <v>64</v>
      </c>
      <c r="J14" s="2" t="s">
        <v>65</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4" t="str">
        <f aca="false">IF(AND(ISNUMBER(P14),ISNUMBER(Q14)),P14-Q14,"")</f>
        <v/>
      </c>
      <c r="AP14" s="4" t="str">
        <f aca="false">IF(AND(ISNUMBER(P14),ISNUMBER(Q14)),P14/Q14,"")</f>
        <v/>
      </c>
      <c r="AQ14" s="2" t="n">
        <v>6.83E-012</v>
      </c>
    </row>
    <row r="15" customFormat="false" ht="15" hidden="false" customHeight="false" outlineLevel="0" collapsed="false">
      <c r="A15" s="2" t="n">
        <v>8751.3</v>
      </c>
      <c r="B15" s="2" t="n">
        <v>30</v>
      </c>
      <c r="C15" s="2" t="n">
        <v>0.5</v>
      </c>
      <c r="D15" s="2" t="n">
        <v>149.7</v>
      </c>
      <c r="E15" s="2" t="n">
        <v>79.5</v>
      </c>
      <c r="F15" s="2" t="n">
        <v>67.3</v>
      </c>
      <c r="G15" s="2" t="n">
        <v>111.93</v>
      </c>
      <c r="H15" s="2" t="n">
        <v>30.6</v>
      </c>
      <c r="I15" s="2" t="s">
        <v>64</v>
      </c>
      <c r="J15" s="2" t="s">
        <v>65</v>
      </c>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4" t="str">
        <f aca="false">IF(AND(ISNUMBER(P15),ISNUMBER(Q15)),P15-Q15,"")</f>
        <v/>
      </c>
      <c r="AP15" s="4" t="str">
        <f aca="false">IF(AND(ISNUMBER(P15),ISNUMBER(Q15)),P15/Q15,"")</f>
        <v/>
      </c>
      <c r="AQ15" s="2" t="n">
        <v>6.71E-012</v>
      </c>
    </row>
    <row r="16" customFormat="false" ht="15" hidden="false" customHeight="false" outlineLevel="0" collapsed="false">
      <c r="A16" s="2" t="n">
        <v>21495.3</v>
      </c>
      <c r="B16" s="2" t="n">
        <v>10</v>
      </c>
      <c r="C16" s="2" t="n">
        <v>0.005</v>
      </c>
      <c r="D16" s="2" t="n">
        <v>368.9</v>
      </c>
      <c r="E16" s="2" t="n">
        <v>58.2</v>
      </c>
      <c r="F16" s="2" t="n">
        <v>57.6</v>
      </c>
      <c r="G16" s="2" t="n">
        <v>60.06</v>
      </c>
      <c r="H16" s="2" t="n">
        <v>476</v>
      </c>
      <c r="I16" s="2" t="s">
        <v>63</v>
      </c>
      <c r="J16" s="2" t="s">
        <v>63</v>
      </c>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4" t="str">
        <f aca="false">IF(AND(ISNUMBER(P16),ISNUMBER(Q16)),P16-Q16,"")</f>
        <v/>
      </c>
      <c r="AP16" s="4" t="str">
        <f aca="false">IF(AND(ISNUMBER(P16),ISNUMBER(Q16)),P16/Q16,"")</f>
        <v/>
      </c>
      <c r="AQ16" s="2" t="n">
        <v>5.71E-012</v>
      </c>
    </row>
    <row r="17" customFormat="false" ht="15" hidden="false" customHeight="false" outlineLevel="0" collapsed="false">
      <c r="A17" s="2" t="n">
        <v>21495.3</v>
      </c>
      <c r="B17" s="2" t="n">
        <v>10</v>
      </c>
      <c r="C17" s="2" t="n">
        <v>0.01</v>
      </c>
      <c r="D17" s="2" t="n">
        <v>368.7</v>
      </c>
      <c r="E17" s="2" t="n">
        <v>62.1</v>
      </c>
      <c r="F17" s="2" t="n">
        <v>61.49</v>
      </c>
      <c r="G17" s="2" t="n">
        <v>64.39</v>
      </c>
      <c r="H17" s="2" t="n">
        <v>483.1</v>
      </c>
      <c r="I17" s="2" t="s">
        <v>64</v>
      </c>
      <c r="J17" s="2" t="s">
        <v>65</v>
      </c>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4" t="str">
        <f aca="false">IF(AND(ISNUMBER(P17),ISNUMBER(Q17)),P17-Q17,"")</f>
        <v/>
      </c>
      <c r="AP17" s="4" t="str">
        <f aca="false">IF(AND(ISNUMBER(P17),ISNUMBER(Q17)),P17/Q17,"")</f>
        <v/>
      </c>
      <c r="AQ17" s="2" t="n">
        <v>5.28E-012</v>
      </c>
    </row>
    <row r="18" customFormat="false" ht="15" hidden="false" customHeight="false" outlineLevel="0" collapsed="false">
      <c r="A18" s="2" t="n">
        <v>21495.3</v>
      </c>
      <c r="B18" s="2" t="n">
        <v>10</v>
      </c>
      <c r="C18" s="2" t="n">
        <v>0.02</v>
      </c>
      <c r="D18" s="2" t="n">
        <v>368.5</v>
      </c>
      <c r="E18" s="2" t="n">
        <v>69.2</v>
      </c>
      <c r="F18" s="2" t="n">
        <v>68.23</v>
      </c>
      <c r="G18" s="2" t="n">
        <v>74.08</v>
      </c>
      <c r="H18" s="2" t="n">
        <v>407.3</v>
      </c>
      <c r="I18" s="2" t="s">
        <v>64</v>
      </c>
      <c r="J18" s="2" t="s">
        <v>65</v>
      </c>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4" t="str">
        <f aca="false">IF(AND(ISNUMBER(P18),ISNUMBER(Q18)),P18-Q18,"")</f>
        <v/>
      </c>
      <c r="AP18" s="4" t="str">
        <f aca="false">IF(AND(ISNUMBER(P18),ISNUMBER(Q18)),P18/Q18,"")</f>
        <v/>
      </c>
      <c r="AQ18" s="2" t="n">
        <v>4.68E-012</v>
      </c>
    </row>
    <row r="19" customFormat="false" ht="15" hidden="false" customHeight="false" outlineLevel="0" collapsed="false">
      <c r="A19" s="2" t="n">
        <v>21495.3</v>
      </c>
      <c r="B19" s="2" t="n">
        <v>10</v>
      </c>
      <c r="C19" s="2" t="n">
        <v>0.05</v>
      </c>
      <c r="D19" s="2" t="n">
        <v>367.7</v>
      </c>
      <c r="E19" s="2" t="n">
        <v>85.6</v>
      </c>
      <c r="F19" s="2" t="n">
        <v>82.83</v>
      </c>
      <c r="G19" s="2" t="n">
        <v>96.55</v>
      </c>
      <c r="H19" s="2" t="n">
        <v>258.8</v>
      </c>
      <c r="I19" s="2" t="s">
        <v>64</v>
      </c>
      <c r="J19" s="2" t="s">
        <v>65</v>
      </c>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4" t="str">
        <f aca="false">IF(AND(ISNUMBER(P19),ISNUMBER(Q19)),P19-Q19,"")</f>
        <v/>
      </c>
      <c r="AP19" s="4" t="str">
        <f aca="false">IF(AND(ISNUMBER(P19),ISNUMBER(Q19)),P19/Q19,"")</f>
        <v/>
      </c>
      <c r="AQ19" s="2" t="n">
        <v>4E-012</v>
      </c>
    </row>
    <row r="20" customFormat="false" ht="15" hidden="false" customHeight="false" outlineLevel="0" collapsed="false">
      <c r="A20" s="2" t="n">
        <v>21495.3</v>
      </c>
      <c r="B20" s="2" t="n">
        <v>10</v>
      </c>
      <c r="C20" s="2" t="n">
        <v>0.1</v>
      </c>
      <c r="D20" s="2" t="n">
        <v>366.3</v>
      </c>
      <c r="E20" s="2" t="n">
        <v>103.8</v>
      </c>
      <c r="F20" s="2" t="n">
        <v>97.11</v>
      </c>
      <c r="G20" s="2" t="n">
        <v>124.89</v>
      </c>
      <c r="H20" s="2" t="n">
        <v>59.2</v>
      </c>
      <c r="I20" s="2" t="s">
        <v>64</v>
      </c>
      <c r="J20" s="2" t="s">
        <v>65</v>
      </c>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4" t="str">
        <f aca="false">IF(AND(ISNUMBER(P20),ISNUMBER(Q20)),P20-Q20,"")</f>
        <v/>
      </c>
      <c r="AP20" s="4" t="str">
        <f aca="false">IF(AND(ISNUMBER(P20),ISNUMBER(Q20)),P20/Q20,"")</f>
        <v/>
      </c>
      <c r="AQ20" s="2" t="n">
        <v>3.71E-012</v>
      </c>
    </row>
    <row r="21" customFormat="false" ht="15" hidden="false" customHeight="false" outlineLevel="0" collapsed="false">
      <c r="A21" s="2" t="n">
        <v>21495.3</v>
      </c>
      <c r="B21" s="2" t="n">
        <v>10</v>
      </c>
      <c r="C21" s="2" t="n">
        <v>0.2</v>
      </c>
      <c r="D21" s="2" t="n">
        <v>363.7</v>
      </c>
      <c r="E21" s="2" t="n">
        <v>125.2</v>
      </c>
      <c r="F21" s="2" t="n">
        <v>110.78</v>
      </c>
      <c r="G21" s="2" t="n">
        <v>174.21</v>
      </c>
      <c r="H21" s="2" t="n">
        <v>26.6</v>
      </c>
      <c r="I21" s="2" t="s">
        <v>64</v>
      </c>
      <c r="J21" s="2" t="s">
        <v>65</v>
      </c>
      <c r="K21" s="2"/>
      <c r="L21" s="2" t="n">
        <v>15.89</v>
      </c>
      <c r="M21" s="2"/>
      <c r="N21" s="2" t="s">
        <v>64</v>
      </c>
      <c r="O21" s="2" t="n">
        <v>132.97</v>
      </c>
      <c r="P21" s="2"/>
      <c r="Q21" s="2"/>
      <c r="R21" s="2"/>
      <c r="S21" s="2"/>
      <c r="T21" s="2"/>
      <c r="U21" s="2"/>
      <c r="V21" s="2"/>
      <c r="W21" s="2"/>
      <c r="X21" s="2"/>
      <c r="Y21" s="2"/>
      <c r="Z21" s="2"/>
      <c r="AA21" s="2"/>
      <c r="AB21" s="2"/>
      <c r="AC21" s="2"/>
      <c r="AD21" s="2"/>
      <c r="AE21" s="2"/>
      <c r="AF21" s="2"/>
      <c r="AG21" s="2"/>
      <c r="AH21" s="2"/>
      <c r="AI21" s="2"/>
      <c r="AJ21" s="2"/>
      <c r="AK21" s="2"/>
      <c r="AL21" s="2"/>
      <c r="AM21" s="2"/>
      <c r="AN21" s="2"/>
      <c r="AO21" s="4" t="str">
        <f aca="false">IF(AND(ISNUMBER(P21),ISNUMBER(Q21)),P21-Q21,"")</f>
        <v/>
      </c>
      <c r="AP21" s="4" t="str">
        <f aca="false">IF(AND(ISNUMBER(P21),ISNUMBER(Q21)),P21/Q21,"")</f>
        <v/>
      </c>
      <c r="AQ21" s="2" t="n">
        <v>3.62E-012</v>
      </c>
    </row>
    <row r="22" customFormat="false" ht="15" hidden="false" customHeight="false" outlineLevel="0" collapsed="false">
      <c r="A22" s="2" t="n">
        <v>21495.3</v>
      </c>
      <c r="B22" s="2" t="n">
        <v>10</v>
      </c>
      <c r="C22" s="2" t="n">
        <v>0.5</v>
      </c>
      <c r="D22" s="2" t="n">
        <v>356.2</v>
      </c>
      <c r="E22" s="2" t="n">
        <v>152.4</v>
      </c>
      <c r="F22" s="2" t="n">
        <v>122.92</v>
      </c>
      <c r="G22" s="2" t="n">
        <v>241.43</v>
      </c>
      <c r="H22" s="2" t="n">
        <v>15.4</v>
      </c>
      <c r="I22" s="2" t="s">
        <v>64</v>
      </c>
      <c r="J22" s="2" t="s">
        <v>65</v>
      </c>
      <c r="K22" s="2"/>
      <c r="L22" s="2" t="n">
        <v>6.94</v>
      </c>
      <c r="M22" s="2"/>
      <c r="N22" s="2" t="s">
        <v>64</v>
      </c>
      <c r="O22" s="2" t="n">
        <v>141.03</v>
      </c>
      <c r="P22" s="2"/>
      <c r="Q22" s="2" t="n">
        <v>7.45</v>
      </c>
      <c r="R22" s="2"/>
      <c r="S22" s="2" t="s">
        <v>64</v>
      </c>
      <c r="T22" s="2" t="n">
        <v>154.34</v>
      </c>
      <c r="U22" s="2"/>
      <c r="V22" s="2" t="n">
        <v>8.02</v>
      </c>
      <c r="W22" s="2"/>
      <c r="X22" s="2" t="s">
        <v>64</v>
      </c>
      <c r="Y22" s="2" t="n">
        <v>168.12</v>
      </c>
      <c r="Z22" s="2"/>
      <c r="AA22" s="2"/>
      <c r="AB22" s="2"/>
      <c r="AC22" s="2"/>
      <c r="AD22" s="2"/>
      <c r="AE22" s="2"/>
      <c r="AF22" s="2"/>
      <c r="AG22" s="2"/>
      <c r="AH22" s="2"/>
      <c r="AI22" s="2"/>
      <c r="AJ22" s="2"/>
      <c r="AK22" s="2"/>
      <c r="AL22" s="2"/>
      <c r="AM22" s="2"/>
      <c r="AN22" s="2"/>
      <c r="AO22" s="4" t="str">
        <f aca="false">IF(AND(ISNUMBER(P22),ISNUMBER(Q22)),P22-Q22,"")</f>
        <v/>
      </c>
      <c r="AP22" s="4" t="str">
        <f aca="false">IF(AND(ISNUMBER(P22),ISNUMBER(Q22)),P22/Q22,"")</f>
        <v/>
      </c>
      <c r="AQ22" s="2" t="n">
        <v>3.57E-012</v>
      </c>
    </row>
    <row r="23" customFormat="false" ht="15" hidden="false" customHeight="false" outlineLevel="0" collapsed="false">
      <c r="A23" s="2" t="n">
        <v>21495.3</v>
      </c>
      <c r="B23" s="2" t="n">
        <v>30</v>
      </c>
      <c r="C23" s="2" t="n">
        <v>0.005</v>
      </c>
      <c r="D23" s="2" t="n">
        <v>360.9</v>
      </c>
      <c r="E23" s="2" t="n">
        <v>58.2</v>
      </c>
      <c r="F23" s="2" t="n">
        <v>57.65</v>
      </c>
      <c r="G23" s="2" t="n">
        <v>60.11</v>
      </c>
      <c r="H23" s="2" t="n">
        <v>486.6</v>
      </c>
      <c r="I23" s="2" t="s">
        <v>63</v>
      </c>
      <c r="J23" s="2" t="s">
        <v>63</v>
      </c>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4" t="str">
        <f aca="false">IF(AND(ISNUMBER(P23),ISNUMBER(Q23)),P23-Q23,"")</f>
        <v/>
      </c>
      <c r="AP23" s="4" t="str">
        <f aca="false">IF(AND(ISNUMBER(P23),ISNUMBER(Q23)),P23/Q23,"")</f>
        <v/>
      </c>
      <c r="AQ23" s="2" t="n">
        <v>5.67E-012</v>
      </c>
    </row>
    <row r="24" customFormat="false" ht="15" hidden="false" customHeight="false" outlineLevel="0" collapsed="false">
      <c r="A24" s="2" t="n">
        <v>21495.3</v>
      </c>
      <c r="B24" s="2" t="n">
        <v>30</v>
      </c>
      <c r="C24" s="2" t="n">
        <v>0.01</v>
      </c>
      <c r="D24" s="2" t="n">
        <v>360.5</v>
      </c>
      <c r="E24" s="2" t="n">
        <v>62.2</v>
      </c>
      <c r="F24" s="2" t="n">
        <v>61.56</v>
      </c>
      <c r="G24" s="2" t="n">
        <v>64.46</v>
      </c>
      <c r="H24" s="2" t="n">
        <v>493.7</v>
      </c>
      <c r="I24" s="2" t="s">
        <v>64</v>
      </c>
      <c r="J24" s="2" t="s">
        <v>65</v>
      </c>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4" t="str">
        <f aca="false">IF(AND(ISNUMBER(P24),ISNUMBER(Q24)),P24-Q24,"")</f>
        <v/>
      </c>
      <c r="AP24" s="4" t="str">
        <f aca="false">IF(AND(ISNUMBER(P24),ISNUMBER(Q24)),P24/Q24,"")</f>
        <v/>
      </c>
      <c r="AQ24" s="2" t="n">
        <v>5.23E-012</v>
      </c>
    </row>
    <row r="25" customFormat="false" ht="15" hidden="false" customHeight="false" outlineLevel="0" collapsed="false">
      <c r="A25" s="2" t="n">
        <v>21495.3</v>
      </c>
      <c r="B25" s="2" t="n">
        <v>30</v>
      </c>
      <c r="C25" s="2" t="n">
        <v>0.02</v>
      </c>
      <c r="D25" s="2" t="n">
        <v>359.8</v>
      </c>
      <c r="E25" s="2" t="n">
        <v>69.2</v>
      </c>
      <c r="F25" s="2" t="n">
        <v>68.32</v>
      </c>
      <c r="G25" s="2" t="n">
        <v>74.18</v>
      </c>
      <c r="H25" s="2" t="n">
        <v>417.6</v>
      </c>
      <c r="I25" s="2" t="s">
        <v>64</v>
      </c>
      <c r="J25" s="2" t="s">
        <v>65</v>
      </c>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4" t="str">
        <f aca="false">IF(AND(ISNUMBER(P25),ISNUMBER(Q25)),P25-Q25,"")</f>
        <v/>
      </c>
      <c r="AP25" s="4" t="str">
        <f aca="false">IF(AND(ISNUMBER(P25),ISNUMBER(Q25)),P25/Q25,"")</f>
        <v/>
      </c>
      <c r="AQ25" s="2" t="n">
        <v>4.65E-012</v>
      </c>
    </row>
    <row r="26" customFormat="false" ht="15" hidden="false" customHeight="false" outlineLevel="0" collapsed="false">
      <c r="A26" s="2" t="n">
        <v>21495.3</v>
      </c>
      <c r="B26" s="2" t="n">
        <v>30</v>
      </c>
      <c r="C26" s="2" t="n">
        <v>0.05</v>
      </c>
      <c r="D26" s="2" t="n">
        <v>357.5</v>
      </c>
      <c r="E26" s="2" t="n">
        <v>85.7</v>
      </c>
      <c r="F26" s="2" t="n">
        <v>82.96</v>
      </c>
      <c r="G26" s="2" t="n">
        <v>96.72</v>
      </c>
      <c r="H26" s="2" t="n">
        <v>269</v>
      </c>
      <c r="I26" s="2" t="s">
        <v>64</v>
      </c>
      <c r="J26" s="2" t="s">
        <v>65</v>
      </c>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4" t="str">
        <f aca="false">IF(AND(ISNUMBER(P26),ISNUMBER(Q26)),P26-Q26,"")</f>
        <v/>
      </c>
      <c r="AP26" s="4" t="str">
        <f aca="false">IF(AND(ISNUMBER(P26),ISNUMBER(Q26)),P26/Q26,"")</f>
        <v/>
      </c>
      <c r="AQ26" s="2" t="n">
        <v>3.95E-012</v>
      </c>
    </row>
    <row r="27" customFormat="false" ht="15" hidden="false" customHeight="false" outlineLevel="0" collapsed="false">
      <c r="A27" s="2" t="n">
        <v>21495.3</v>
      </c>
      <c r="B27" s="2" t="n">
        <v>30</v>
      </c>
      <c r="C27" s="2" t="n">
        <v>0.1</v>
      </c>
      <c r="D27" s="2" t="n">
        <v>353.9</v>
      </c>
      <c r="E27" s="2" t="n">
        <v>104</v>
      </c>
      <c r="F27" s="2" t="n">
        <v>97.29</v>
      </c>
      <c r="G27" s="2" t="n">
        <v>125.16</v>
      </c>
      <c r="H27" s="2" t="n">
        <v>70.4</v>
      </c>
      <c r="I27" s="2" t="s">
        <v>64</v>
      </c>
      <c r="J27" s="2" t="s">
        <v>65</v>
      </c>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4" t="str">
        <f aca="false">IF(AND(ISNUMBER(P27),ISNUMBER(Q27)),P27-Q27,"")</f>
        <v/>
      </c>
      <c r="AP27" s="4" t="str">
        <f aca="false">IF(AND(ISNUMBER(P27),ISNUMBER(Q27)),P27/Q27,"")</f>
        <v/>
      </c>
      <c r="AQ27" s="2" t="n">
        <v>3.67E-012</v>
      </c>
    </row>
    <row r="28" customFormat="false" ht="15" hidden="false" customHeight="false" outlineLevel="0" collapsed="false">
      <c r="A28" s="2" t="n">
        <v>21495.3</v>
      </c>
      <c r="B28" s="2" t="n">
        <v>30</v>
      </c>
      <c r="C28" s="2" t="n">
        <v>0.2</v>
      </c>
      <c r="D28" s="2" t="n">
        <v>347.1</v>
      </c>
      <c r="E28" s="2" t="n">
        <v>125.4</v>
      </c>
      <c r="F28" s="2" t="n">
        <v>111.01</v>
      </c>
      <c r="G28" s="2" t="n">
        <v>173.98</v>
      </c>
      <c r="H28" s="2" t="n">
        <v>39</v>
      </c>
      <c r="I28" s="2" t="s">
        <v>64</v>
      </c>
      <c r="J28" s="2" t="s">
        <v>65</v>
      </c>
      <c r="K28" s="2"/>
      <c r="L28" s="2" t="n">
        <v>29.41</v>
      </c>
      <c r="M28" s="2"/>
      <c r="N28" s="2" t="s">
        <v>64</v>
      </c>
      <c r="O28" s="2" t="n">
        <v>130.2</v>
      </c>
      <c r="P28" s="2"/>
      <c r="Q28" s="2"/>
      <c r="R28" s="2"/>
      <c r="S28" s="2"/>
      <c r="T28" s="2"/>
      <c r="U28" s="2"/>
      <c r="V28" s="2"/>
      <c r="W28" s="2"/>
      <c r="X28" s="2"/>
      <c r="Y28" s="2"/>
      <c r="Z28" s="2"/>
      <c r="AA28" s="2"/>
      <c r="AB28" s="2"/>
      <c r="AC28" s="2"/>
      <c r="AD28" s="2"/>
      <c r="AE28" s="2"/>
      <c r="AF28" s="2"/>
      <c r="AG28" s="2"/>
      <c r="AH28" s="2"/>
      <c r="AI28" s="2"/>
      <c r="AJ28" s="2"/>
      <c r="AK28" s="2"/>
      <c r="AL28" s="2"/>
      <c r="AM28" s="2"/>
      <c r="AN28" s="2"/>
      <c r="AO28" s="4" t="str">
        <f aca="false">IF(AND(ISNUMBER(P28),ISNUMBER(Q28)),P28-Q28,"")</f>
        <v/>
      </c>
      <c r="AP28" s="4" t="str">
        <f aca="false">IF(AND(ISNUMBER(P28),ISNUMBER(Q28)),P28/Q28,"")</f>
        <v/>
      </c>
      <c r="AQ28" s="2" t="n">
        <v>3.56E-012</v>
      </c>
    </row>
    <row r="29" customFormat="false" ht="15" hidden="false" customHeight="false" outlineLevel="0" collapsed="false">
      <c r="A29" s="2" t="n">
        <v>21495.3</v>
      </c>
      <c r="B29" s="2" t="n">
        <v>30</v>
      </c>
      <c r="C29" s="2" t="n">
        <v>0.5</v>
      </c>
      <c r="D29" s="2" t="n">
        <v>329.1</v>
      </c>
      <c r="E29" s="2" t="n">
        <v>152.8</v>
      </c>
      <c r="F29" s="2" t="n">
        <v>123.18</v>
      </c>
      <c r="G29" s="2" t="n">
        <v>236.67</v>
      </c>
      <c r="H29" s="2" t="n">
        <v>30.3</v>
      </c>
      <c r="I29" s="2" t="s">
        <v>64</v>
      </c>
      <c r="J29" s="2" t="s">
        <v>65</v>
      </c>
      <c r="K29" s="2"/>
      <c r="L29" s="2" t="n">
        <v>18.75</v>
      </c>
      <c r="M29" s="2"/>
      <c r="N29" s="2" t="s">
        <v>64</v>
      </c>
      <c r="O29" s="2" t="n">
        <v>135.65</v>
      </c>
      <c r="P29" s="2"/>
      <c r="Q29" s="2" t="n">
        <v>20.07</v>
      </c>
      <c r="R29" s="2"/>
      <c r="S29" s="2" t="s">
        <v>64</v>
      </c>
      <c r="T29" s="2" t="n">
        <v>148.23</v>
      </c>
      <c r="U29" s="2"/>
      <c r="V29" s="2" t="n">
        <v>21.57</v>
      </c>
      <c r="W29" s="2"/>
      <c r="X29" s="2" t="s">
        <v>64</v>
      </c>
      <c r="Y29" s="2" t="n">
        <v>160.64</v>
      </c>
      <c r="Z29" s="2"/>
      <c r="AA29" s="2"/>
      <c r="AB29" s="2"/>
      <c r="AC29" s="2"/>
      <c r="AD29" s="2"/>
      <c r="AE29" s="2"/>
      <c r="AF29" s="2"/>
      <c r="AG29" s="2"/>
      <c r="AH29" s="2"/>
      <c r="AI29" s="2"/>
      <c r="AJ29" s="2"/>
      <c r="AK29" s="2"/>
      <c r="AL29" s="2"/>
      <c r="AM29" s="2"/>
      <c r="AN29" s="2"/>
      <c r="AO29" s="4" t="str">
        <f aca="false">IF(AND(ISNUMBER(P29),ISNUMBER(Q29)),P29-Q29,"")</f>
        <v/>
      </c>
      <c r="AP29" s="4" t="str">
        <f aca="false">IF(AND(ISNUMBER(P29),ISNUMBER(Q29)),P29/Q29,"")</f>
        <v/>
      </c>
      <c r="AQ29" s="2" t="n">
        <v>3.51E-012</v>
      </c>
    </row>
    <row r="30" customFormat="false" ht="15" hidden="false" customHeight="false" outlineLevel="0" collapsed="false">
      <c r="A30" s="2" t="n">
        <v>33222.9</v>
      </c>
      <c r="B30" s="2" t="n">
        <v>10</v>
      </c>
      <c r="C30" s="2" t="n">
        <v>0.005</v>
      </c>
      <c r="D30" s="2" t="n">
        <v>553.8</v>
      </c>
      <c r="E30" s="2" t="n">
        <v>73.9</v>
      </c>
      <c r="F30" s="2" t="n">
        <v>72.99</v>
      </c>
      <c r="G30" s="2" t="n">
        <v>76.86</v>
      </c>
      <c r="H30" s="2" t="n">
        <v>390</v>
      </c>
      <c r="I30" s="2" t="s">
        <v>63</v>
      </c>
      <c r="J30" s="2" t="s">
        <v>63</v>
      </c>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4" t="str">
        <f aca="false">IF(AND(ISNUMBER(P30),ISNUMBER(Q30)),P30-Q30,"")</f>
        <v/>
      </c>
      <c r="AP30" s="4" t="str">
        <f aca="false">IF(AND(ISNUMBER(P30),ISNUMBER(Q30)),P30/Q30,"")</f>
        <v/>
      </c>
      <c r="AQ30" s="2" t="n">
        <v>4.3E-012</v>
      </c>
    </row>
    <row r="31" customFormat="false" ht="15" hidden="false" customHeight="false" outlineLevel="0" collapsed="false">
      <c r="A31" s="2" t="n">
        <v>33222.9</v>
      </c>
      <c r="B31" s="2" t="n">
        <v>10</v>
      </c>
      <c r="C31" s="2" t="n">
        <v>0.01</v>
      </c>
      <c r="D31" s="2" t="n">
        <v>553.6</v>
      </c>
      <c r="E31" s="2" t="n">
        <v>79.1</v>
      </c>
      <c r="F31" s="2" t="n">
        <v>78.1</v>
      </c>
      <c r="G31" s="2" t="n">
        <v>82.2</v>
      </c>
      <c r="H31" s="2" t="n">
        <v>415.4</v>
      </c>
      <c r="I31" s="2" t="s">
        <v>64</v>
      </c>
      <c r="J31" s="2" t="s">
        <v>65</v>
      </c>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4" t="str">
        <f aca="false">IF(AND(ISNUMBER(P31),ISNUMBER(Q31)),P31-Q31,"")</f>
        <v/>
      </c>
      <c r="AP31" s="4" t="str">
        <f aca="false">IF(AND(ISNUMBER(P31),ISNUMBER(Q31)),P31/Q31,"")</f>
        <v/>
      </c>
      <c r="AQ31" s="2" t="n">
        <v>4.04E-012</v>
      </c>
    </row>
    <row r="32" customFormat="false" ht="15" hidden="false" customHeight="false" outlineLevel="0" collapsed="false">
      <c r="A32" s="2" t="n">
        <v>33222.9</v>
      </c>
      <c r="B32" s="2" t="n">
        <v>10</v>
      </c>
      <c r="C32" s="2" t="n">
        <v>0.02</v>
      </c>
      <c r="D32" s="2" t="n">
        <v>553.2</v>
      </c>
      <c r="E32" s="2" t="n">
        <v>88.4</v>
      </c>
      <c r="F32" s="2" t="n">
        <v>87.05</v>
      </c>
      <c r="G32" s="2" t="n">
        <v>95.41</v>
      </c>
      <c r="H32" s="2" t="n">
        <v>350.7</v>
      </c>
      <c r="I32" s="2" t="s">
        <v>64</v>
      </c>
      <c r="J32" s="2" t="s">
        <v>65</v>
      </c>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4" t="str">
        <f aca="false">IF(AND(ISNUMBER(P32),ISNUMBER(Q32)),P32-Q32,"")</f>
        <v/>
      </c>
      <c r="AP32" s="4" t="str">
        <f aca="false">IF(AND(ISNUMBER(P32),ISNUMBER(Q32)),P32/Q32,"")</f>
        <v/>
      </c>
      <c r="AQ32" s="2" t="n">
        <v>3.64E-012</v>
      </c>
    </row>
    <row r="33" customFormat="false" ht="15" hidden="false" customHeight="false" outlineLevel="0" collapsed="false">
      <c r="A33" s="2" t="n">
        <v>33222.9</v>
      </c>
      <c r="B33" s="2" t="n">
        <v>10</v>
      </c>
      <c r="C33" s="2" t="n">
        <v>0.05</v>
      </c>
      <c r="D33" s="2" t="n">
        <v>552</v>
      </c>
      <c r="E33" s="2" t="n">
        <v>110.7</v>
      </c>
      <c r="F33" s="2" t="n">
        <v>106.96</v>
      </c>
      <c r="G33" s="2" t="n">
        <v>127.19</v>
      </c>
      <c r="H33" s="2" t="n">
        <v>215</v>
      </c>
      <c r="I33" s="2" t="s">
        <v>64</v>
      </c>
      <c r="J33" s="2" t="s">
        <v>65</v>
      </c>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4" t="str">
        <f aca="false">IF(AND(ISNUMBER(P33),ISNUMBER(Q33)),P33-Q33,"")</f>
        <v/>
      </c>
      <c r="AP33" s="4" t="str">
        <f aca="false">IF(AND(ISNUMBER(P33),ISNUMBER(Q33)),P33/Q33,"")</f>
        <v/>
      </c>
      <c r="AQ33" s="2" t="n">
        <v>3.17E-012</v>
      </c>
    </row>
    <row r="34" customFormat="false" ht="15" hidden="false" customHeight="false" outlineLevel="0" collapsed="false">
      <c r="A34" s="2" t="n">
        <v>33222.9</v>
      </c>
      <c r="B34" s="2" t="n">
        <v>10</v>
      </c>
      <c r="C34" s="2" t="n">
        <v>0.1</v>
      </c>
      <c r="D34" s="2" t="n">
        <v>549.9</v>
      </c>
      <c r="E34" s="2" t="n">
        <v>136.5</v>
      </c>
      <c r="F34" s="2" t="n">
        <v>127.23</v>
      </c>
      <c r="G34" s="2" t="n">
        <v>173.88</v>
      </c>
      <c r="H34" s="2" t="n">
        <v>39.7</v>
      </c>
      <c r="I34" s="2" t="s">
        <v>64</v>
      </c>
      <c r="J34" s="2" t="s">
        <v>65</v>
      </c>
      <c r="K34" s="2"/>
      <c r="L34" s="2" t="n">
        <v>20.94</v>
      </c>
      <c r="M34" s="2"/>
      <c r="N34" s="2" t="s">
        <v>64</v>
      </c>
      <c r="O34" s="2" t="n">
        <v>127.71</v>
      </c>
      <c r="P34" s="2"/>
      <c r="Q34" s="2"/>
      <c r="R34" s="2"/>
      <c r="S34" s="2"/>
      <c r="T34" s="2"/>
      <c r="U34" s="2"/>
      <c r="V34" s="2"/>
      <c r="W34" s="2"/>
      <c r="X34" s="2"/>
      <c r="Y34" s="2"/>
      <c r="Z34" s="2"/>
      <c r="AA34" s="2"/>
      <c r="AB34" s="2"/>
      <c r="AC34" s="2"/>
      <c r="AD34" s="2"/>
      <c r="AE34" s="2"/>
      <c r="AF34" s="2"/>
      <c r="AG34" s="2"/>
      <c r="AH34" s="2"/>
      <c r="AI34" s="2"/>
      <c r="AJ34" s="2"/>
      <c r="AK34" s="2"/>
      <c r="AL34" s="2"/>
      <c r="AM34" s="2"/>
      <c r="AN34" s="2"/>
      <c r="AO34" s="4" t="str">
        <f aca="false">IF(AND(ISNUMBER(P34),ISNUMBER(Q34)),P34-Q34,"")</f>
        <v/>
      </c>
      <c r="AP34" s="4" t="str">
        <f aca="false">IF(AND(ISNUMBER(P34),ISNUMBER(Q34)),P34/Q34,"")</f>
        <v/>
      </c>
      <c r="AQ34" s="2" t="n">
        <v>2.97E-012</v>
      </c>
    </row>
    <row r="35" customFormat="false" ht="15" hidden="false" customHeight="false" outlineLevel="0" collapsed="false">
      <c r="A35" s="2" t="n">
        <v>33222.9</v>
      </c>
      <c r="B35" s="2" t="n">
        <v>10</v>
      </c>
      <c r="C35" s="2" t="n">
        <v>0.2</v>
      </c>
      <c r="D35" s="2" t="n">
        <v>546</v>
      </c>
      <c r="E35" s="2" t="n">
        <v>168.1</v>
      </c>
      <c r="F35" s="2" t="n">
        <v>147.68</v>
      </c>
      <c r="G35" s="2" t="n">
        <v>250.73</v>
      </c>
      <c r="H35" s="2" t="n">
        <v>23.9</v>
      </c>
      <c r="I35" s="2" t="s">
        <v>64</v>
      </c>
      <c r="J35" s="2" t="s">
        <v>65</v>
      </c>
      <c r="K35" s="2"/>
      <c r="L35" s="2" t="n">
        <v>7.59</v>
      </c>
      <c r="M35" s="2"/>
      <c r="N35" s="2" t="s">
        <v>64</v>
      </c>
      <c r="O35" s="2" t="n">
        <v>139.51</v>
      </c>
      <c r="P35" s="2"/>
      <c r="Q35" s="2" t="n">
        <v>8.17</v>
      </c>
      <c r="R35" s="2"/>
      <c r="S35" s="2" t="s">
        <v>64</v>
      </c>
      <c r="T35" s="2" t="n">
        <v>153.53</v>
      </c>
      <c r="U35" s="2"/>
      <c r="V35" s="2" t="n">
        <v>8.85</v>
      </c>
      <c r="W35" s="2"/>
      <c r="X35" s="2" t="s">
        <v>64</v>
      </c>
      <c r="Y35" s="2" t="n">
        <v>167.25</v>
      </c>
      <c r="Z35" s="2"/>
      <c r="AA35" s="2"/>
      <c r="AB35" s="2"/>
      <c r="AC35" s="2"/>
      <c r="AD35" s="2"/>
      <c r="AE35" s="2"/>
      <c r="AF35" s="2"/>
      <c r="AG35" s="2"/>
      <c r="AH35" s="2"/>
      <c r="AI35" s="2"/>
      <c r="AJ35" s="2"/>
      <c r="AK35" s="2"/>
      <c r="AL35" s="2"/>
      <c r="AM35" s="2"/>
      <c r="AN35" s="2"/>
      <c r="AO35" s="4" t="str">
        <f aca="false">IF(AND(ISNUMBER(P35),ISNUMBER(Q35)),P35-Q35,"")</f>
        <v/>
      </c>
      <c r="AP35" s="4" t="str">
        <f aca="false">IF(AND(ISNUMBER(P35),ISNUMBER(Q35)),P35/Q35,"")</f>
        <v/>
      </c>
      <c r="AQ35" s="2" t="n">
        <v>2.9E-012</v>
      </c>
    </row>
    <row r="36" customFormat="false" ht="15" hidden="false" customHeight="false" outlineLevel="0" collapsed="false">
      <c r="A36" s="2" t="n">
        <v>33222.9</v>
      </c>
      <c r="B36" s="2" t="n">
        <v>10</v>
      </c>
      <c r="C36" s="2" t="n">
        <v>0.5</v>
      </c>
      <c r="D36" s="2" t="n">
        <v>534.6</v>
      </c>
      <c r="E36" s="2" t="n">
        <v>211.2</v>
      </c>
      <c r="F36" s="2" t="n">
        <v>167.12</v>
      </c>
      <c r="G36" s="2" t="n">
        <v>355.92</v>
      </c>
      <c r="H36" s="2" t="n">
        <v>14.8</v>
      </c>
      <c r="I36" s="2" t="s">
        <v>64</v>
      </c>
      <c r="J36" s="2" t="s">
        <v>65</v>
      </c>
      <c r="K36" s="2" t="n">
        <v>57.46</v>
      </c>
      <c r="L36" s="2" t="n">
        <v>5.43</v>
      </c>
      <c r="M36" s="2"/>
      <c r="N36" s="2" t="s">
        <v>64</v>
      </c>
      <c r="O36" s="2" t="n">
        <v>143.82</v>
      </c>
      <c r="P36" s="2" t="n">
        <v>69.64</v>
      </c>
      <c r="Q36" s="2" t="n">
        <v>5.7</v>
      </c>
      <c r="R36" s="2"/>
      <c r="S36" s="2" t="s">
        <v>64</v>
      </c>
      <c r="T36" s="2" t="n">
        <v>154.43</v>
      </c>
      <c r="U36" s="2" t="n">
        <v>87.96</v>
      </c>
      <c r="V36" s="2" t="n">
        <v>5.96</v>
      </c>
      <c r="W36" s="2"/>
      <c r="X36" s="2" t="s">
        <v>64</v>
      </c>
      <c r="Y36" s="2" t="n">
        <v>170.03</v>
      </c>
      <c r="Z36" s="2"/>
      <c r="AA36" s="2" t="n">
        <v>7.13</v>
      </c>
      <c r="AB36" s="2"/>
      <c r="AC36" s="2" t="s">
        <v>64</v>
      </c>
      <c r="AD36" s="2" t="n">
        <v>226.06</v>
      </c>
      <c r="AE36" s="2"/>
      <c r="AF36" s="2" t="n">
        <v>7.68</v>
      </c>
      <c r="AG36" s="2"/>
      <c r="AH36" s="2" t="s">
        <v>64</v>
      </c>
      <c r="AI36" s="2" t="n">
        <v>245.47</v>
      </c>
      <c r="AJ36" s="2"/>
      <c r="AK36" s="2" t="n">
        <v>8.33</v>
      </c>
      <c r="AL36" s="2"/>
      <c r="AM36" s="2" t="s">
        <v>64</v>
      </c>
      <c r="AN36" s="2" t="n">
        <v>268.13</v>
      </c>
      <c r="AO36" s="4" t="n">
        <f aca="false">IF(AND(ISNUMBER(P36),ISNUMBER(Q36)),P36-Q36,"")</f>
        <v>63.94</v>
      </c>
      <c r="AP36" s="4" t="n">
        <f aca="false">IF(AND(ISNUMBER(P36),ISNUMBER(Q36)),P36/Q36,"")</f>
        <v>12.2175438596491</v>
      </c>
      <c r="AQ36" s="2" t="n">
        <v>2.85E-012</v>
      </c>
    </row>
    <row r="37" customFormat="false" ht="15" hidden="false" customHeight="false" outlineLevel="0" collapsed="false">
      <c r="A37" s="2" t="n">
        <v>33222.9</v>
      </c>
      <c r="B37" s="2" t="n">
        <v>30</v>
      </c>
      <c r="C37" s="2" t="n">
        <v>0.005</v>
      </c>
      <c r="D37" s="2" t="n">
        <v>537</v>
      </c>
      <c r="E37" s="2" t="n">
        <v>74</v>
      </c>
      <c r="F37" s="2" t="n">
        <v>73.12</v>
      </c>
      <c r="G37" s="2" t="n">
        <v>77.01</v>
      </c>
      <c r="H37" s="2" t="n">
        <v>400.8</v>
      </c>
      <c r="I37" s="2" t="s">
        <v>63</v>
      </c>
      <c r="J37" s="2" t="s">
        <v>63</v>
      </c>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4" t="str">
        <f aca="false">IF(AND(ISNUMBER(P37),ISNUMBER(Q37)),P37-Q37,"")</f>
        <v/>
      </c>
      <c r="AP37" s="4" t="str">
        <f aca="false">IF(AND(ISNUMBER(P37),ISNUMBER(Q37)),P37/Q37,"")</f>
        <v/>
      </c>
      <c r="AQ37" s="2" t="n">
        <v>4.25E-012</v>
      </c>
    </row>
    <row r="38" customFormat="false" ht="15" hidden="false" customHeight="false" outlineLevel="0" collapsed="false">
      <c r="A38" s="2" t="n">
        <v>33222.9</v>
      </c>
      <c r="B38" s="2" t="n">
        <v>30</v>
      </c>
      <c r="C38" s="2" t="n">
        <v>0.01</v>
      </c>
      <c r="D38" s="2" t="n">
        <v>536.5</v>
      </c>
      <c r="E38" s="2" t="n">
        <v>79.2</v>
      </c>
      <c r="F38" s="2" t="n">
        <v>78.26</v>
      </c>
      <c r="G38" s="2" t="n">
        <v>82.37</v>
      </c>
      <c r="H38" s="2" t="n">
        <v>426.1</v>
      </c>
      <c r="I38" s="2" t="s">
        <v>64</v>
      </c>
      <c r="J38" s="2" t="s">
        <v>65</v>
      </c>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4" t="str">
        <f aca="false">IF(AND(ISNUMBER(P38),ISNUMBER(Q38)),P38-Q38,"")</f>
        <v/>
      </c>
      <c r="AP38" s="4" t="str">
        <f aca="false">IF(AND(ISNUMBER(P38),ISNUMBER(Q38)),P38/Q38,"")</f>
        <v/>
      </c>
      <c r="AQ38" s="2" t="n">
        <v>3.99E-012</v>
      </c>
    </row>
    <row r="39" customFormat="false" ht="15" hidden="false" customHeight="false" outlineLevel="0" collapsed="false">
      <c r="A39" s="2" t="n">
        <v>33222.9</v>
      </c>
      <c r="B39" s="2" t="n">
        <v>30</v>
      </c>
      <c r="C39" s="2" t="n">
        <v>0.02</v>
      </c>
      <c r="D39" s="2" t="n">
        <v>535.4</v>
      </c>
      <c r="E39" s="2" t="n">
        <v>88.6</v>
      </c>
      <c r="F39" s="2" t="n">
        <v>87.27</v>
      </c>
      <c r="G39" s="2" t="n">
        <v>95.65</v>
      </c>
      <c r="H39" s="2" t="n">
        <v>361.2</v>
      </c>
      <c r="I39" s="2" t="s">
        <v>64</v>
      </c>
      <c r="J39" s="2" t="s">
        <v>65</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4" t="str">
        <f aca="false">IF(AND(ISNUMBER(P39),ISNUMBER(Q39)),P39-Q39,"")</f>
        <v/>
      </c>
      <c r="AP39" s="4" t="str">
        <f aca="false">IF(AND(ISNUMBER(P39),ISNUMBER(Q39)),P39/Q39,"")</f>
        <v/>
      </c>
      <c r="AQ39" s="2" t="n">
        <v>3.58E-012</v>
      </c>
    </row>
    <row r="40" customFormat="false" ht="15" hidden="false" customHeight="false" outlineLevel="0" collapsed="false">
      <c r="A40" s="2" t="n">
        <v>33222.9</v>
      </c>
      <c r="B40" s="2" t="n">
        <v>30</v>
      </c>
      <c r="C40" s="2" t="n">
        <v>0.05</v>
      </c>
      <c r="D40" s="2" t="n">
        <v>532.1</v>
      </c>
      <c r="E40" s="2" t="n">
        <v>111.1</v>
      </c>
      <c r="F40" s="2" t="n">
        <v>107.3</v>
      </c>
      <c r="G40" s="2" t="n">
        <v>127.63</v>
      </c>
      <c r="H40" s="2" t="n">
        <v>225.2</v>
      </c>
      <c r="I40" s="2" t="s">
        <v>64</v>
      </c>
      <c r="J40" s="2" t="s">
        <v>65</v>
      </c>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4" t="str">
        <f aca="false">IF(AND(ISNUMBER(P40),ISNUMBER(Q40)),P40-Q40,"")</f>
        <v/>
      </c>
      <c r="AP40" s="4" t="str">
        <f aca="false">IF(AND(ISNUMBER(P40),ISNUMBER(Q40)),P40/Q40,"")</f>
        <v/>
      </c>
      <c r="AQ40" s="2" t="n">
        <v>3.13E-012</v>
      </c>
    </row>
    <row r="41" customFormat="false" ht="15" hidden="false" customHeight="false" outlineLevel="0" collapsed="false">
      <c r="A41" s="2" t="n">
        <v>33222.9</v>
      </c>
      <c r="B41" s="2" t="n">
        <v>30</v>
      </c>
      <c r="C41" s="2" t="n">
        <v>0.1</v>
      </c>
      <c r="D41" s="2" t="n">
        <v>526.8</v>
      </c>
      <c r="E41" s="2" t="n">
        <v>137.1</v>
      </c>
      <c r="F41" s="2" t="n">
        <v>127.71</v>
      </c>
      <c r="G41" s="2" t="n">
        <v>174.62</v>
      </c>
      <c r="H41" s="2" t="n">
        <v>51.2</v>
      </c>
      <c r="I41" s="2" t="s">
        <v>64</v>
      </c>
      <c r="J41" s="2" t="s">
        <v>65</v>
      </c>
      <c r="K41" s="2"/>
      <c r="L41" s="2" t="n">
        <v>32.42</v>
      </c>
      <c r="M41" s="2"/>
      <c r="N41" s="2" t="s">
        <v>64</v>
      </c>
      <c r="O41" s="2" t="n">
        <v>126.85</v>
      </c>
      <c r="P41" s="2"/>
      <c r="Q41" s="2"/>
      <c r="R41" s="2"/>
      <c r="S41" s="2"/>
      <c r="T41" s="2"/>
      <c r="U41" s="2"/>
      <c r="V41" s="2"/>
      <c r="W41" s="2"/>
      <c r="X41" s="2"/>
      <c r="Y41" s="2"/>
      <c r="Z41" s="2"/>
      <c r="AA41" s="2"/>
      <c r="AB41" s="2"/>
      <c r="AC41" s="2"/>
      <c r="AD41" s="2"/>
      <c r="AE41" s="2"/>
      <c r="AF41" s="2"/>
      <c r="AG41" s="2"/>
      <c r="AH41" s="2"/>
      <c r="AI41" s="2"/>
      <c r="AJ41" s="2"/>
      <c r="AK41" s="2"/>
      <c r="AL41" s="2"/>
      <c r="AM41" s="2"/>
      <c r="AN41" s="2"/>
      <c r="AO41" s="4" t="str">
        <f aca="false">IF(AND(ISNUMBER(P41),ISNUMBER(Q41)),P41-Q41,"")</f>
        <v/>
      </c>
      <c r="AP41" s="4" t="str">
        <f aca="false">IF(AND(ISNUMBER(P41),ISNUMBER(Q41)),P41/Q41,"")</f>
        <v/>
      </c>
      <c r="AQ41" s="2" t="n">
        <v>2.93E-012</v>
      </c>
    </row>
    <row r="42" customFormat="false" ht="15" hidden="false" customHeight="false" outlineLevel="0" collapsed="false">
      <c r="A42" s="2" t="n">
        <v>33222.9</v>
      </c>
      <c r="B42" s="2" t="n">
        <v>30</v>
      </c>
      <c r="C42" s="2" t="n">
        <v>0.2</v>
      </c>
      <c r="D42" s="2" t="n">
        <v>516.7</v>
      </c>
      <c r="E42" s="2" t="n">
        <v>168.9</v>
      </c>
      <c r="F42" s="2" t="n">
        <v>148.31</v>
      </c>
      <c r="G42" s="2" t="n">
        <v>250.79</v>
      </c>
      <c r="H42" s="2" t="n">
        <v>36.5</v>
      </c>
      <c r="I42" s="2" t="s">
        <v>64</v>
      </c>
      <c r="J42" s="2" t="s">
        <v>65</v>
      </c>
      <c r="K42" s="2"/>
      <c r="L42" s="2" t="n">
        <v>19.24</v>
      </c>
      <c r="M42" s="2"/>
      <c r="N42" s="2" t="s">
        <v>64</v>
      </c>
      <c r="O42" s="2" t="n">
        <v>136.43</v>
      </c>
      <c r="P42" s="2"/>
      <c r="Q42" s="2" t="n">
        <v>20.5</v>
      </c>
      <c r="R42" s="2"/>
      <c r="S42" s="2" t="s">
        <v>64</v>
      </c>
      <c r="T42" s="2" t="n">
        <v>149.72</v>
      </c>
      <c r="U42" s="2"/>
      <c r="V42" s="2" t="n">
        <v>21.89</v>
      </c>
      <c r="W42" s="2"/>
      <c r="X42" s="2" t="s">
        <v>64</v>
      </c>
      <c r="Y42" s="2" t="n">
        <v>161.55</v>
      </c>
      <c r="Z42" s="2"/>
      <c r="AA42" s="2"/>
      <c r="AB42" s="2"/>
      <c r="AC42" s="2"/>
      <c r="AD42" s="2"/>
      <c r="AE42" s="2"/>
      <c r="AF42" s="2"/>
      <c r="AG42" s="2"/>
      <c r="AH42" s="2"/>
      <c r="AI42" s="2"/>
      <c r="AJ42" s="2"/>
      <c r="AK42" s="2"/>
      <c r="AL42" s="2"/>
      <c r="AM42" s="2"/>
      <c r="AN42" s="2"/>
      <c r="AO42" s="4" t="str">
        <f aca="false">IF(AND(ISNUMBER(P42),ISNUMBER(Q42)),P42-Q42,"")</f>
        <v/>
      </c>
      <c r="AP42" s="4" t="str">
        <f aca="false">IF(AND(ISNUMBER(P42),ISNUMBER(Q42)),P42/Q42,"")</f>
        <v/>
      </c>
      <c r="AQ42" s="2" t="n">
        <v>2.85E-012</v>
      </c>
    </row>
    <row r="43" customFormat="false" ht="15" hidden="false" customHeight="false" outlineLevel="0" collapsed="false">
      <c r="A43" s="2" t="n">
        <v>33222.9</v>
      </c>
      <c r="B43" s="2" t="n">
        <v>30</v>
      </c>
      <c r="C43" s="2" t="n">
        <v>0.5</v>
      </c>
      <c r="D43" s="2" t="n">
        <v>490.1</v>
      </c>
      <c r="E43" s="2" t="n">
        <v>212.3</v>
      </c>
      <c r="F43" s="2" t="n">
        <v>167.89</v>
      </c>
      <c r="G43" s="2" t="n">
        <v>348.29</v>
      </c>
      <c r="H43" s="2" t="n">
        <v>30</v>
      </c>
      <c r="I43" s="2" t="s">
        <v>64</v>
      </c>
      <c r="J43" s="2" t="s">
        <v>65</v>
      </c>
      <c r="K43" s="2" t="n">
        <v>67.3</v>
      </c>
      <c r="L43" s="2" t="n">
        <v>14.82</v>
      </c>
      <c r="M43" s="2"/>
      <c r="N43" s="2" t="s">
        <v>64</v>
      </c>
      <c r="O43" s="2" t="n">
        <v>138.31</v>
      </c>
      <c r="P43" s="2" t="n">
        <v>79.17</v>
      </c>
      <c r="Q43" s="2" t="n">
        <v>15.51</v>
      </c>
      <c r="R43" s="2"/>
      <c r="S43" s="2" t="s">
        <v>64</v>
      </c>
      <c r="T43" s="2" t="n">
        <v>151.94</v>
      </c>
      <c r="U43" s="2" t="n">
        <v>96.76</v>
      </c>
      <c r="V43" s="2" t="n">
        <v>16.21</v>
      </c>
      <c r="W43" s="2"/>
      <c r="X43" s="2" t="s">
        <v>64</v>
      </c>
      <c r="Y43" s="2" t="n">
        <v>165.4</v>
      </c>
      <c r="Z43" s="2"/>
      <c r="AA43" s="2" t="n">
        <v>19.24</v>
      </c>
      <c r="AB43" s="2"/>
      <c r="AC43" s="2" t="s">
        <v>64</v>
      </c>
      <c r="AD43" s="2" t="n">
        <v>216.69</v>
      </c>
      <c r="AE43" s="2"/>
      <c r="AF43" s="2" t="n">
        <v>20.7</v>
      </c>
      <c r="AG43" s="2"/>
      <c r="AH43" s="2" t="s">
        <v>64</v>
      </c>
      <c r="AI43" s="2" t="n">
        <v>236.14</v>
      </c>
      <c r="AJ43" s="2"/>
      <c r="AK43" s="2" t="n">
        <v>22.41</v>
      </c>
      <c r="AL43" s="2"/>
      <c r="AM43" s="2" t="s">
        <v>64</v>
      </c>
      <c r="AN43" s="2" t="n">
        <v>256.52</v>
      </c>
      <c r="AO43" s="4" t="n">
        <f aca="false">IF(AND(ISNUMBER(P43),ISNUMBER(Q43)),P43-Q43,"")</f>
        <v>63.66</v>
      </c>
      <c r="AP43" s="4" t="n">
        <f aca="false">IF(AND(ISNUMBER(P43),ISNUMBER(Q43)),P43/Q43,"")</f>
        <v>5.10444874274662</v>
      </c>
      <c r="AQ43" s="2" t="n">
        <v>2.81E-012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3"/>
    <col collapsed="false" customWidth="true" hidden="false" outlineLevel="0" max="5" min="4" style="0" width="17"/>
    <col collapsed="false" customWidth="true" hidden="false" outlineLevel="0" max="6" min="6" style="0" width="24"/>
    <col collapsed="false" customWidth="true" hidden="false" outlineLevel="0" max="7" min="7" style="0" width="23"/>
    <col collapsed="false" customWidth="true" hidden="false" outlineLevel="0" max="8" min="8" style="0" width="31"/>
    <col collapsed="false" customWidth="true" hidden="false" outlineLevel="0" max="9" min="9" style="0" width="23"/>
    <col collapsed="false" customWidth="true" hidden="false" outlineLevel="0" max="10" min="10" style="0" width="24"/>
    <col collapsed="false" customWidth="true" hidden="false" outlineLevel="0" max="11" min="11" style="0" width="27"/>
    <col collapsed="false" customWidth="true" hidden="false" outlineLevel="0" max="12" min="12" style="0" width="33"/>
    <col collapsed="false" customWidth="true" hidden="false" outlineLevel="0" max="13" min="13" style="0" width="34"/>
    <col collapsed="false" customWidth="true" hidden="false" outlineLevel="0" max="14" min="14" style="0" width="30"/>
    <col collapsed="false" customWidth="true" hidden="false" outlineLevel="0" max="15" min="15" style="0" width="34"/>
    <col collapsed="false" customWidth="true" hidden="false" outlineLevel="0" max="16" min="16" style="0" width="28"/>
    <col collapsed="false" customWidth="true" hidden="false" outlineLevel="0" max="18" min="17" style="0" width="34"/>
    <col collapsed="false" customWidth="true" hidden="false" outlineLevel="0" max="19" min="19" style="0" width="31"/>
    <col collapsed="false" customWidth="true" hidden="false" outlineLevel="0" max="20" min="20" style="0" width="34"/>
    <col collapsed="false" customWidth="true" hidden="false" outlineLevel="0" max="21" min="21" style="0" width="28"/>
    <col collapsed="false" customWidth="true" hidden="false" outlineLevel="0" max="23" min="22" style="0" width="34"/>
    <col collapsed="false" customWidth="true" hidden="false" outlineLevel="0" max="24" min="24" style="0" width="31"/>
    <col collapsed="false" customWidth="true" hidden="false" outlineLevel="0" max="25" min="25" style="0" width="34"/>
    <col collapsed="false" customWidth="true" hidden="false" outlineLevel="0" max="26" min="26" style="0" width="25"/>
    <col collapsed="false" customWidth="true" hidden="false" outlineLevel="0" max="27" min="27" style="0" width="31"/>
    <col collapsed="false" customWidth="true" hidden="false" outlineLevel="0" max="28" min="28" style="0" width="32"/>
    <col collapsed="false" customWidth="true" hidden="false" outlineLevel="0" max="29" min="29" style="0" width="28"/>
    <col collapsed="false" customWidth="true" hidden="false" outlineLevel="0" max="30" min="30" style="0" width="34"/>
    <col collapsed="false" customWidth="true" hidden="false" outlineLevel="0" max="31" min="31" style="0" width="26"/>
    <col collapsed="false" customWidth="true" hidden="false" outlineLevel="0" max="32" min="32" style="0" width="32"/>
    <col collapsed="false" customWidth="true" hidden="false" outlineLevel="0" max="33" min="33" style="0" width="33"/>
    <col collapsed="false" customWidth="true" hidden="false" outlineLevel="0" max="34" min="34" style="0" width="29"/>
    <col collapsed="false" customWidth="true" hidden="false" outlineLevel="0" max="35" min="35" style="0" width="34"/>
    <col collapsed="false" customWidth="true" hidden="false" outlineLevel="0" max="36" min="36" style="0" width="26"/>
    <col collapsed="false" customWidth="true" hidden="false" outlineLevel="0" max="37" min="37" style="0" width="32"/>
    <col collapsed="false" customWidth="true" hidden="false" outlineLevel="0" max="38" min="38" style="0" width="33"/>
    <col collapsed="false" customWidth="true" hidden="false" outlineLevel="0" max="39" min="39" style="0" width="29"/>
    <col collapsed="false" customWidth="true" hidden="false" outlineLevel="0" max="40" min="40" style="0" width="34"/>
  </cols>
  <sheetData>
    <row r="1" customFormat="false" ht="23.85" hidden="false" customHeight="false" outlineLevel="0" collapsed="false">
      <c r="A1" s="3" t="s">
        <v>10</v>
      </c>
      <c r="B1" s="3" t="s">
        <v>11</v>
      </c>
      <c r="C1" s="3" t="s">
        <v>12</v>
      </c>
      <c r="D1" s="3" t="s">
        <v>23</v>
      </c>
      <c r="E1" s="3" t="s">
        <v>24</v>
      </c>
      <c r="F1" s="3" t="s">
        <v>25</v>
      </c>
      <c r="G1" s="3" t="s">
        <v>26</v>
      </c>
      <c r="H1" s="3" t="s">
        <v>27</v>
      </c>
      <c r="I1" s="3" t="s">
        <v>28</v>
      </c>
      <c r="J1" s="3" t="s">
        <v>29</v>
      </c>
      <c r="K1" s="3" t="s">
        <v>30</v>
      </c>
      <c r="L1" s="3" t="s">
        <v>31</v>
      </c>
      <c r="M1" s="3" t="s">
        <v>32</v>
      </c>
      <c r="N1" s="3" t="s">
        <v>33</v>
      </c>
      <c r="O1" s="3" t="s">
        <v>34</v>
      </c>
      <c r="P1" s="3" t="s">
        <v>35</v>
      </c>
      <c r="Q1" s="3" t="s">
        <v>36</v>
      </c>
      <c r="R1" s="3" t="s">
        <v>37</v>
      </c>
      <c r="S1" s="3" t="s">
        <v>38</v>
      </c>
      <c r="T1" s="3" t="s">
        <v>39</v>
      </c>
      <c r="U1" s="3" t="s">
        <v>40</v>
      </c>
      <c r="V1" s="3" t="s">
        <v>41</v>
      </c>
      <c r="W1" s="3" t="s">
        <v>42</v>
      </c>
      <c r="X1" s="3" t="s">
        <v>43</v>
      </c>
      <c r="Y1" s="3" t="s">
        <v>44</v>
      </c>
      <c r="Z1" s="3" t="s">
        <v>45</v>
      </c>
      <c r="AA1" s="3" t="s">
        <v>46</v>
      </c>
      <c r="AB1" s="3" t="s">
        <v>47</v>
      </c>
      <c r="AC1" s="3" t="s">
        <v>48</v>
      </c>
      <c r="AD1" s="3" t="s">
        <v>49</v>
      </c>
      <c r="AE1" s="3" t="s">
        <v>50</v>
      </c>
      <c r="AF1" s="3" t="s">
        <v>51</v>
      </c>
      <c r="AG1" s="3" t="s">
        <v>52</v>
      </c>
      <c r="AH1" s="3" t="s">
        <v>53</v>
      </c>
      <c r="AI1" s="3" t="s">
        <v>54</v>
      </c>
      <c r="AJ1" s="3" t="s">
        <v>55</v>
      </c>
      <c r="AK1" s="3" t="s">
        <v>56</v>
      </c>
      <c r="AL1" s="3" t="s">
        <v>57</v>
      </c>
      <c r="AM1" s="3" t="s">
        <v>58</v>
      </c>
      <c r="AN1" s="3" t="s">
        <v>59</v>
      </c>
    </row>
    <row r="2" customFormat="false" ht="15" hidden="false" customHeight="false" outlineLevel="0" collapsed="false">
      <c r="A2" s="2" t="n">
        <v>21495.3</v>
      </c>
      <c r="B2" s="2" t="n">
        <v>30</v>
      </c>
      <c r="C2" s="2" t="n">
        <v>0.005</v>
      </c>
      <c r="D2" s="2" t="n">
        <v>360.9</v>
      </c>
      <c r="E2" s="2" t="n">
        <v>58.2</v>
      </c>
      <c r="F2" s="2" t="n">
        <v>57.53</v>
      </c>
      <c r="G2" s="2" t="n">
        <v>60.97</v>
      </c>
      <c r="H2" s="2" t="n">
        <v>460.7</v>
      </c>
      <c r="I2" s="2" t="s">
        <v>63</v>
      </c>
      <c r="J2" s="2" t="s">
        <v>63</v>
      </c>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customFormat="false" ht="15" hidden="false" customHeight="false" outlineLevel="0" collapsed="false">
      <c r="A3" s="2" t="n">
        <v>21495.3</v>
      </c>
      <c r="B3" s="2" t="n">
        <v>30</v>
      </c>
      <c r="C3" s="2" t="n">
        <v>0.01</v>
      </c>
      <c r="D3" s="2" t="n">
        <v>360.5</v>
      </c>
      <c r="E3" s="2" t="n">
        <v>62.2</v>
      </c>
      <c r="F3" s="2" t="n">
        <v>61.28</v>
      </c>
      <c r="G3" s="2" t="n">
        <v>65.99</v>
      </c>
      <c r="H3" s="2" t="n">
        <v>425.4</v>
      </c>
      <c r="I3" s="2" t="s">
        <v>63</v>
      </c>
      <c r="J3" s="2" t="s">
        <v>66</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row>
    <row r="4" customFormat="false" ht="15" hidden="false" customHeight="false" outlineLevel="0" collapsed="false">
      <c r="A4" s="2" t="n">
        <v>21495.3</v>
      </c>
      <c r="B4" s="2" t="n">
        <v>30</v>
      </c>
      <c r="C4" s="2" t="n">
        <v>0.02</v>
      </c>
      <c r="D4" s="2" t="n">
        <v>359.8</v>
      </c>
      <c r="E4" s="2" t="n">
        <v>69.2</v>
      </c>
      <c r="F4" s="2" t="n">
        <v>67.66</v>
      </c>
      <c r="G4" s="2" t="n">
        <v>75.04</v>
      </c>
      <c r="H4" s="2" t="n">
        <v>362.1</v>
      </c>
      <c r="I4" s="2" t="s">
        <v>63</v>
      </c>
      <c r="J4" s="2" t="s">
        <v>66</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row>
    <row r="5" customFormat="false" ht="15" hidden="false" customHeight="false" outlineLevel="0" collapsed="false">
      <c r="A5" s="2" t="n">
        <v>21495.3</v>
      </c>
      <c r="B5" s="2" t="n">
        <v>30</v>
      </c>
      <c r="C5" s="2" t="n">
        <v>0.05</v>
      </c>
      <c r="D5" s="2" t="n">
        <v>357.5</v>
      </c>
      <c r="E5" s="2" t="n">
        <v>85.7</v>
      </c>
      <c r="F5" s="2" t="n">
        <v>80.93</v>
      </c>
      <c r="G5" s="2" t="n">
        <v>96.42</v>
      </c>
      <c r="H5" s="2" t="n">
        <v>222.1</v>
      </c>
      <c r="I5" s="2" t="s">
        <v>64</v>
      </c>
      <c r="J5" s="2" t="s">
        <v>66</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row>
    <row r="6" customFormat="false" ht="15" hidden="false" customHeight="false" outlineLevel="0" collapsed="false">
      <c r="A6" s="2" t="n">
        <v>21495.3</v>
      </c>
      <c r="B6" s="2" t="n">
        <v>30</v>
      </c>
      <c r="C6" s="2" t="n">
        <v>0.1</v>
      </c>
      <c r="D6" s="2" t="n">
        <v>353.9</v>
      </c>
      <c r="E6" s="2" t="n">
        <v>104</v>
      </c>
      <c r="F6" s="2" t="n">
        <v>92.87</v>
      </c>
      <c r="G6" s="2" t="n">
        <v>122.62</v>
      </c>
      <c r="H6" s="2" t="n">
        <v>120.7</v>
      </c>
      <c r="I6" s="2" t="s">
        <v>64</v>
      </c>
      <c r="J6" s="2" t="s">
        <v>66</v>
      </c>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customFormat="false" ht="15" hidden="false" customHeight="false" outlineLevel="0" collapsed="false">
      <c r="A7" s="2" t="n">
        <v>21495.3</v>
      </c>
      <c r="B7" s="2" t="n">
        <v>30</v>
      </c>
      <c r="C7" s="2" t="n">
        <v>0.2</v>
      </c>
      <c r="D7" s="2" t="n">
        <v>347.1</v>
      </c>
      <c r="E7" s="2" t="n">
        <v>125.4</v>
      </c>
      <c r="F7" s="2" t="n">
        <v>102.67</v>
      </c>
      <c r="G7" s="2" t="n">
        <v>157.15</v>
      </c>
      <c r="H7" s="2" t="n">
        <v>68.3</v>
      </c>
      <c r="I7" s="2" t="s">
        <v>64</v>
      </c>
      <c r="J7" s="2" t="s">
        <v>66</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customFormat="false" ht="15" hidden="false" customHeight="false" outlineLevel="0" collapsed="false">
      <c r="A8" s="2" t="n">
        <v>21495.3</v>
      </c>
      <c r="B8" s="2" t="n">
        <v>30</v>
      </c>
      <c r="C8" s="2" t="n">
        <v>0.5</v>
      </c>
      <c r="D8" s="2" t="n">
        <v>329.1</v>
      </c>
      <c r="E8" s="2" t="n">
        <v>152.8</v>
      </c>
      <c r="F8" s="2" t="n">
        <v>109.19</v>
      </c>
      <c r="G8" s="2" t="n">
        <v>206.71</v>
      </c>
      <c r="H8" s="2" t="n">
        <v>37.1</v>
      </c>
      <c r="I8" s="2" t="s">
        <v>64</v>
      </c>
      <c r="J8" s="2" t="s">
        <v>66</v>
      </c>
      <c r="K8" s="2"/>
      <c r="L8" s="2" t="n">
        <v>22.83</v>
      </c>
      <c r="M8" s="2"/>
      <c r="N8" s="2" t="s">
        <v>64</v>
      </c>
      <c r="O8" s="2" t="n">
        <v>130.81</v>
      </c>
      <c r="P8" s="2"/>
      <c r="Q8" s="2" t="n">
        <v>25.04</v>
      </c>
      <c r="R8" s="2"/>
      <c r="S8" s="2" t="s">
        <v>64</v>
      </c>
      <c r="T8" s="2" t="n">
        <v>142.28</v>
      </c>
      <c r="U8" s="2"/>
      <c r="V8" s="2" t="n">
        <v>28.28</v>
      </c>
      <c r="W8" s="2"/>
      <c r="X8" s="2" t="s">
        <v>64</v>
      </c>
      <c r="Y8" s="2" t="n">
        <v>152.42</v>
      </c>
      <c r="Z8" s="2"/>
      <c r="AA8" s="2"/>
      <c r="AB8" s="2"/>
      <c r="AC8" s="2"/>
      <c r="AD8" s="2"/>
      <c r="AE8" s="2"/>
      <c r="AF8" s="2"/>
      <c r="AG8" s="2"/>
      <c r="AH8" s="2"/>
      <c r="AI8" s="2"/>
      <c r="AJ8" s="2"/>
      <c r="AK8" s="2"/>
      <c r="AL8" s="2"/>
      <c r="AM8" s="2"/>
      <c r="AN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70"/>
    <col collapsed="false" customWidth="true" hidden="false" outlineLevel="0" max="3" min="3" style="0" width="9"/>
    <col collapsed="false" customWidth="true" hidden="false" outlineLevel="0" max="4" min="4" style="0" width="90"/>
  </cols>
  <sheetData>
    <row r="1" customFormat="false" ht="15" hidden="false" customHeight="false" outlineLevel="0" collapsed="false">
      <c r="A1" s="3" t="s">
        <v>67</v>
      </c>
      <c r="B1" s="3" t="s">
        <v>68</v>
      </c>
      <c r="C1" s="3" t="s">
        <v>69</v>
      </c>
      <c r="D1" s="3" t="s">
        <v>70</v>
      </c>
    </row>
    <row r="2" customFormat="false" ht="15" hidden="false" customHeight="false" outlineLevel="0" collapsed="false">
      <c r="A2" s="2" t="s">
        <v>71</v>
      </c>
      <c r="B2" s="2" t="s">
        <v>72</v>
      </c>
      <c r="C2" s="2" t="s">
        <v>73</v>
      </c>
      <c r="D2" s="2" t="s">
        <v>74</v>
      </c>
    </row>
    <row r="3" customFormat="false" ht="15" hidden="false" customHeight="false" outlineLevel="0" collapsed="false">
      <c r="A3" s="2" t="s">
        <v>75</v>
      </c>
      <c r="B3" s="2" t="s">
        <v>76</v>
      </c>
      <c r="C3" s="2" t="s">
        <v>73</v>
      </c>
      <c r="D3" s="2" t="s">
        <v>77</v>
      </c>
    </row>
    <row r="4" customFormat="false" ht="15" hidden="false" customHeight="false" outlineLevel="0" collapsed="false">
      <c r="A4" s="2" t="s">
        <v>78</v>
      </c>
      <c r="B4" s="2" t="s">
        <v>79</v>
      </c>
      <c r="C4" s="2" t="s">
        <v>73</v>
      </c>
      <c r="D4" s="2" t="s">
        <v>80</v>
      </c>
    </row>
    <row r="5" customFormat="false" ht="15" hidden="false" customHeight="false" outlineLevel="0" collapsed="false">
      <c r="A5" s="2" t="s">
        <v>81</v>
      </c>
      <c r="B5" s="2" t="s">
        <v>82</v>
      </c>
      <c r="C5" s="2" t="s">
        <v>83</v>
      </c>
      <c r="D5" s="2" t="s">
        <v>84</v>
      </c>
    </row>
    <row r="6" customFormat="false" ht="15" hidden="false" customHeight="false" outlineLevel="0" collapsed="false">
      <c r="A6" s="2" t="s">
        <v>85</v>
      </c>
      <c r="B6" s="2" t="s">
        <v>86</v>
      </c>
      <c r="C6" s="2" t="s">
        <v>73</v>
      </c>
      <c r="D6" s="2" t="s">
        <v>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9"/>
    <col collapsed="false" customWidth="true" hidden="false" outlineLevel="0" max="3" min="3" style="0" width="11"/>
    <col collapsed="false" customWidth="true" hidden="false" outlineLevel="0" max="4" min="4" style="0" width="33"/>
    <col collapsed="false" customWidth="true" hidden="false" outlineLevel="0" max="5" min="5" style="0" width="30"/>
    <col collapsed="false" customWidth="true" hidden="false" outlineLevel="0" max="7" min="6" style="0" width="34"/>
    <col collapsed="false" customWidth="true" hidden="false" outlineLevel="0" max="8" min="8" style="0" width="28"/>
    <col collapsed="false" customWidth="true" hidden="false" outlineLevel="0" max="9" min="9" style="0" width="22"/>
    <col collapsed="false" customWidth="true" hidden="false" outlineLevel="0" max="10" min="10" style="0" width="28"/>
    <col collapsed="false" customWidth="true" hidden="false" outlineLevel="0" max="11" min="11" style="0" width="16"/>
    <col collapsed="false" customWidth="true" hidden="false" outlineLevel="0" max="12" min="12" style="0" width="24"/>
  </cols>
  <sheetData>
    <row r="1" customFormat="false" ht="15" hidden="false" customHeight="false" outlineLevel="0" collapsed="false">
      <c r="A1" s="3" t="s">
        <v>88</v>
      </c>
      <c r="B1" s="3" t="s">
        <v>89</v>
      </c>
      <c r="C1" s="3" t="s">
        <v>90</v>
      </c>
      <c r="D1" s="3" t="s">
        <v>91</v>
      </c>
      <c r="E1" s="3" t="s">
        <v>92</v>
      </c>
      <c r="F1" s="3" t="s">
        <v>93</v>
      </c>
      <c r="G1" s="3" t="s">
        <v>94</v>
      </c>
      <c r="H1" s="3" t="s">
        <v>95</v>
      </c>
      <c r="I1" s="3" t="s">
        <v>96</v>
      </c>
      <c r="J1" s="3" t="s">
        <v>97</v>
      </c>
      <c r="K1" s="3" t="s">
        <v>98</v>
      </c>
      <c r="L1" s="3" t="s">
        <v>99</v>
      </c>
    </row>
    <row r="2" customFormat="false" ht="15" hidden="false" customHeight="false" outlineLevel="0" collapsed="false">
      <c r="A2" s="2" t="s">
        <v>100</v>
      </c>
      <c r="B2" s="2" t="s">
        <v>101</v>
      </c>
      <c r="C2" s="2" t="n">
        <v>4.171</v>
      </c>
      <c r="D2" s="2" t="n">
        <v>92.0372181593768</v>
      </c>
      <c r="E2" s="2" t="n">
        <v>9.94322308251173</v>
      </c>
      <c r="F2" s="2" t="n">
        <v>55.4026437876854</v>
      </c>
      <c r="G2" s="2" t="n">
        <v>26.6913512891796</v>
      </c>
      <c r="H2" s="2" t="n">
        <v>10.803480680276</v>
      </c>
      <c r="I2" s="2" t="n">
        <v>68.154</v>
      </c>
      <c r="J2" s="2" t="n">
        <v>22.1995</v>
      </c>
      <c r="K2" s="2" t="n">
        <v>45.9545</v>
      </c>
      <c r="L2" s="2" t="s">
        <v>102</v>
      </c>
    </row>
    <row r="3" customFormat="false" ht="15" hidden="false" customHeight="false" outlineLevel="0" collapsed="false">
      <c r="A3" s="2" t="s">
        <v>103</v>
      </c>
      <c r="B3" s="2" t="s">
        <v>101</v>
      </c>
      <c r="C3" s="2" t="n">
        <v>4.162</v>
      </c>
      <c r="D3" s="2" t="n">
        <v>98.9963374816913</v>
      </c>
      <c r="E3" s="2" t="n">
        <v>10.2872689318425</v>
      </c>
      <c r="F3" s="2" t="n">
        <v>1.58527612560143</v>
      </c>
      <c r="G3" s="2" t="n">
        <v>87.1237924242474</v>
      </c>
      <c r="H3" s="2" t="n">
        <v>10.3915651765855</v>
      </c>
      <c r="I3" s="2" t="n">
        <v>68.5077</v>
      </c>
      <c r="J3" s="2" t="n">
        <v>14.6203</v>
      </c>
      <c r="K3" s="2" t="n">
        <v>53.8874</v>
      </c>
      <c r="L3" s="2" t="s">
        <v>104</v>
      </c>
    </row>
    <row r="4" customFormat="false" ht="15" hidden="false" customHeight="false" outlineLevel="0" collapsed="false">
      <c r="A4" s="2" t="s">
        <v>105</v>
      </c>
      <c r="B4" s="2" t="s">
        <v>101</v>
      </c>
      <c r="C4" s="2" t="n">
        <v>4.175</v>
      </c>
      <c r="D4" s="2" t="n">
        <v>94.7843485934681</v>
      </c>
      <c r="E4" s="2" t="n">
        <v>13.6828823729301</v>
      </c>
      <c r="F4" s="2" t="n">
        <v>43.9210945228996</v>
      </c>
      <c r="G4" s="2" t="n">
        <v>37.1803716976385</v>
      </c>
      <c r="H4" s="2" t="n">
        <v>14.4358035645908</v>
      </c>
      <c r="I4" s="2" t="n">
        <v>68.5158</v>
      </c>
      <c r="J4" s="2" t="n">
        <v>23.7435</v>
      </c>
      <c r="K4" s="2" t="n">
        <v>44.7723</v>
      </c>
      <c r="L4" s="2" t="s">
        <v>102</v>
      </c>
    </row>
    <row r="5" customFormat="false" ht="15" hidden="false" customHeight="false" outlineLevel="0" collapsed="false">
      <c r="A5" s="2" t="s">
        <v>106</v>
      </c>
      <c r="B5" s="2" t="s">
        <v>101</v>
      </c>
      <c r="C5" s="2" t="n">
        <v>4.16</v>
      </c>
      <c r="D5" s="2" t="n">
        <v>85.3365193868596</v>
      </c>
      <c r="E5" s="2" t="n">
        <v>11.5430447060715</v>
      </c>
      <c r="F5" s="2" t="n">
        <v>46.8243611997463</v>
      </c>
      <c r="G5" s="2" t="n">
        <v>26.9691134810419</v>
      </c>
      <c r="H5" s="2" t="n">
        <v>13.5265004818663</v>
      </c>
      <c r="I5" s="2" t="n">
        <v>68.2969</v>
      </c>
      <c r="J5" s="2" t="n">
        <v>29.3396</v>
      </c>
      <c r="K5" s="2" t="n">
        <v>38.9573</v>
      </c>
      <c r="L5" s="2" t="s">
        <v>102</v>
      </c>
    </row>
    <row r="6" customFormat="false" ht="15" hidden="false" customHeight="false" outlineLevel="0" collapsed="false">
      <c r="A6" s="2" t="s">
        <v>107</v>
      </c>
      <c r="B6" s="2" t="s">
        <v>101</v>
      </c>
      <c r="C6" s="2" t="n">
        <v>4.174</v>
      </c>
      <c r="D6" s="2" t="n">
        <v>69.2341962085942</v>
      </c>
      <c r="E6" s="2" t="n">
        <v>17.1848774498585</v>
      </c>
      <c r="F6" s="2" t="n">
        <v>21.0408277433988</v>
      </c>
      <c r="G6" s="2" t="n">
        <v>31.008491015337</v>
      </c>
      <c r="H6" s="2" t="n">
        <v>24.8213720833597</v>
      </c>
      <c r="I6" s="2" t="n">
        <v>68.4351</v>
      </c>
      <c r="J6" s="2" t="n">
        <v>33.9</v>
      </c>
      <c r="K6" s="2" t="n">
        <v>34.5351</v>
      </c>
      <c r="L6" s="2" t="s">
        <v>102</v>
      </c>
    </row>
    <row r="7" customFormat="false" ht="15" hidden="false" customHeight="false" outlineLevel="0" collapsed="false">
      <c r="A7" s="2" t="s">
        <v>108</v>
      </c>
      <c r="B7" s="2" t="s">
        <v>101</v>
      </c>
      <c r="C7" s="2" t="n">
        <v>4.171</v>
      </c>
      <c r="D7" s="2" t="n">
        <v>76.4298123796282</v>
      </c>
      <c r="E7" s="2" t="n">
        <v>21.8940339027253</v>
      </c>
      <c r="F7" s="2" t="n">
        <v>32.4326837476033</v>
      </c>
      <c r="G7" s="2" t="n">
        <v>22.1030947292995</v>
      </c>
      <c r="H7" s="2" t="n">
        <v>28.6459343822241</v>
      </c>
      <c r="I7" s="2" t="n">
        <v>68.4219</v>
      </c>
      <c r="J7" s="2" t="n">
        <v>38</v>
      </c>
      <c r="K7" s="2" t="n">
        <v>30.4219</v>
      </c>
      <c r="L7" s="2" t="s">
        <v>102</v>
      </c>
    </row>
    <row r="8" customFormat="false" ht="15" hidden="false" customHeight="false" outlineLevel="0" collapsed="false">
      <c r="A8" s="2" t="s">
        <v>109</v>
      </c>
      <c r="B8" s="2" t="s">
        <v>101</v>
      </c>
      <c r="C8" s="2" t="n">
        <v>4.172</v>
      </c>
      <c r="D8" s="2" t="n">
        <v>85.3902714116185</v>
      </c>
      <c r="E8" s="2" t="n">
        <v>8.75131304006114</v>
      </c>
      <c r="F8" s="2" t="n">
        <v>4.66720975769724</v>
      </c>
      <c r="G8" s="2" t="n">
        <v>71.9717486138601</v>
      </c>
      <c r="H8" s="2" t="n">
        <v>10.2486066566951</v>
      </c>
      <c r="I8" s="2" t="n">
        <v>68.2315</v>
      </c>
      <c r="J8" s="2" t="n">
        <v>22.54</v>
      </c>
      <c r="K8" s="2" t="n">
        <v>45.6915</v>
      </c>
      <c r="L8" s="2" t="s">
        <v>102</v>
      </c>
    </row>
    <row r="9" customFormat="false" ht="15" hidden="false" customHeight="false" outlineLevel="0" collapsed="false">
      <c r="A9" s="2" t="s">
        <v>110</v>
      </c>
      <c r="B9" s="2" t="s">
        <v>111</v>
      </c>
      <c r="C9" s="2" t="n">
        <v>4.164</v>
      </c>
      <c r="D9" s="2" t="n">
        <v>96.891089276345</v>
      </c>
      <c r="E9" s="2" t="n">
        <v>20.6398389540039</v>
      </c>
      <c r="F9" s="2" t="n">
        <v>2.771930387847</v>
      </c>
      <c r="G9" s="2" t="n">
        <v>73.4793199344942</v>
      </c>
      <c r="H9" s="2" t="n">
        <v>21.302102296669</v>
      </c>
      <c r="I9" s="2" t="n">
        <v>68.3714</v>
      </c>
      <c r="J9" s="2" t="n">
        <v>27.52</v>
      </c>
      <c r="K9" s="2" t="n">
        <v>40.8514</v>
      </c>
      <c r="L9" s="2" t="s">
        <v>102</v>
      </c>
    </row>
    <row r="10" customFormat="false" ht="15" hidden="false" customHeight="false" outlineLevel="0" collapsed="false">
      <c r="A10" s="2" t="s">
        <v>112</v>
      </c>
      <c r="B10" s="2" t="s">
        <v>111</v>
      </c>
      <c r="C10" s="2" t="n">
        <v>4.174</v>
      </c>
      <c r="D10" s="2" t="n">
        <v>107.596096997461</v>
      </c>
      <c r="E10" s="2" t="n">
        <v>28.3638646525409</v>
      </c>
      <c r="F10" s="2" t="n">
        <v>38.6018690384366</v>
      </c>
      <c r="G10" s="2" t="n">
        <v>40.6303633064835</v>
      </c>
      <c r="H10" s="2" t="n">
        <v>26.3614252227107</v>
      </c>
      <c r="I10" s="2" t="n">
        <v>68.1684</v>
      </c>
      <c r="J10" s="2" t="n">
        <v>34.66</v>
      </c>
      <c r="K10" s="2" t="n">
        <v>33.5084</v>
      </c>
      <c r="L10" s="2" t="s">
        <v>102</v>
      </c>
    </row>
    <row r="11" customFormat="false" ht="15" hidden="false" customHeight="false" outlineLevel="0" collapsed="false">
      <c r="A11" s="2" t="s">
        <v>113</v>
      </c>
      <c r="B11" s="2" t="s">
        <v>111</v>
      </c>
      <c r="C11" s="2" t="n">
        <v>4.17</v>
      </c>
      <c r="D11" s="2" t="n">
        <v>101.948996573081</v>
      </c>
      <c r="E11" s="2" t="n">
        <v>24.7177395821513</v>
      </c>
      <c r="F11" s="2" t="n">
        <v>36.0599048158422</v>
      </c>
      <c r="G11" s="2" t="n">
        <v>41.1713521750872</v>
      </c>
      <c r="H11" s="2" t="n">
        <v>24.2452014370075</v>
      </c>
      <c r="I11" s="2" t="n">
        <v>68.4834</v>
      </c>
      <c r="J11" s="2" t="n">
        <v>34.49</v>
      </c>
      <c r="K11" s="2" t="n">
        <v>33.9934</v>
      </c>
      <c r="L11" s="2" t="s">
        <v>102</v>
      </c>
    </row>
    <row r="12" customFormat="false" ht="15" hidden="false" customHeight="false" outlineLevel="0" collapsed="false">
      <c r="A12" s="2" t="s">
        <v>114</v>
      </c>
      <c r="B12" s="2" t="s">
        <v>111</v>
      </c>
      <c r="C12" s="2" t="n">
        <v>4.174</v>
      </c>
      <c r="D12" s="2" t="n">
        <v>91.1894260583093</v>
      </c>
      <c r="E12" s="2" t="n">
        <v>27.0296597579302</v>
      </c>
      <c r="F12" s="2" t="n">
        <v>6.28535083182107</v>
      </c>
      <c r="G12" s="2" t="n">
        <v>57.874415468558</v>
      </c>
      <c r="H12" s="2" t="n">
        <v>29.6412214949644</v>
      </c>
      <c r="I12" s="2" t="n">
        <v>68.4844</v>
      </c>
      <c r="J12" s="2" t="n">
        <v>32.5</v>
      </c>
      <c r="K12" s="2" t="n">
        <v>35.9844</v>
      </c>
      <c r="L12" s="2" t="s">
        <v>102</v>
      </c>
    </row>
    <row r="13" customFormat="false" ht="15" hidden="false" customHeight="false" outlineLevel="0" collapsed="false">
      <c r="A13" s="2" t="s">
        <v>115</v>
      </c>
      <c r="B13" s="2" t="s">
        <v>111</v>
      </c>
      <c r="C13" s="2" t="n">
        <v>4.189</v>
      </c>
      <c r="D13" s="2" t="n">
        <v>93.7075305044559</v>
      </c>
      <c r="E13" s="2" t="n">
        <v>18.6714516861079</v>
      </c>
      <c r="F13" s="2" t="n">
        <v>0.487333339998828</v>
      </c>
      <c r="G13" s="2" t="n">
        <v>74.5487454783492</v>
      </c>
      <c r="H13" s="2" t="n">
        <v>19.9252414246687</v>
      </c>
      <c r="I13" s="2" t="n">
        <v>68.4189</v>
      </c>
      <c r="J13" s="2" t="n">
        <v>26.7</v>
      </c>
      <c r="K13" s="2" t="n">
        <v>41.7189</v>
      </c>
      <c r="L13" s="2" t="s">
        <v>104</v>
      </c>
    </row>
    <row r="14" customFormat="false" ht="15" hidden="false" customHeight="false" outlineLevel="0" collapsed="false">
      <c r="A14" s="2" t="s">
        <v>116</v>
      </c>
      <c r="B14" s="2" t="s">
        <v>111</v>
      </c>
      <c r="C14" s="2" t="n">
        <v>4.1797</v>
      </c>
      <c r="D14" s="2" t="n">
        <v>106.454123159325</v>
      </c>
      <c r="E14" s="2" t="n">
        <v>33.0761080784505</v>
      </c>
      <c r="F14" s="2" t="n">
        <v>68.0178186288345</v>
      </c>
      <c r="G14" s="2" t="n">
        <v>5.36019645203987</v>
      </c>
      <c r="H14" s="2" t="n">
        <v>31.0707627819611</v>
      </c>
      <c r="I14" s="2" t="n">
        <v>68.46</v>
      </c>
      <c r="J14" s="2" t="n">
        <v>28.59</v>
      </c>
      <c r="K14" s="2" t="n">
        <v>39.87</v>
      </c>
      <c r="L14" s="2" t="s">
        <v>102</v>
      </c>
    </row>
    <row r="15" customFormat="false" ht="15" hidden="false" customHeight="false" outlineLevel="0" collapsed="false">
      <c r="A15" s="2" t="s">
        <v>117</v>
      </c>
      <c r="B15" s="2" t="s">
        <v>111</v>
      </c>
      <c r="C15" s="2" t="n">
        <v>4.1768</v>
      </c>
      <c r="D15" s="2" t="n">
        <v>109.369716830584</v>
      </c>
      <c r="E15" s="2" t="n">
        <v>33.2229118228995</v>
      </c>
      <c r="F15" s="2" t="n">
        <v>74.6753119701417</v>
      </c>
      <c r="G15" s="2" t="n">
        <v>1.4714930375432</v>
      </c>
      <c r="H15" s="2" t="n">
        <v>30.3767009604335</v>
      </c>
      <c r="I15" s="2" t="n">
        <v>68.36</v>
      </c>
      <c r="J15" s="2" t="n">
        <v>27.96</v>
      </c>
      <c r="K15" s="2" t="n">
        <v>40.4</v>
      </c>
      <c r="L15" s="2" t="s">
        <v>118</v>
      </c>
    </row>
    <row r="16" customFormat="false" ht="15" hidden="false" customHeight="false" outlineLevel="0" collapsed="false">
      <c r="A16" s="2" t="s">
        <v>119</v>
      </c>
      <c r="B16" s="2" t="s">
        <v>111</v>
      </c>
      <c r="C16" s="2" t="n">
        <v>4.1757</v>
      </c>
      <c r="D16" s="2" t="n">
        <v>110.490191280742</v>
      </c>
      <c r="E16" s="2" t="n">
        <v>27.0408810395301</v>
      </c>
      <c r="F16" s="2" t="n">
        <v>83.0611455134069</v>
      </c>
      <c r="G16" s="2" t="n">
        <v>0.388164727805354</v>
      </c>
      <c r="H16" s="2" t="n">
        <v>24.4735579928742</v>
      </c>
      <c r="I16" s="2" t="n">
        <v>68.52</v>
      </c>
      <c r="J16" s="2" t="n">
        <v>26.88</v>
      </c>
      <c r="K16" s="2" t="n">
        <v>41.64</v>
      </c>
      <c r="L16" s="2" t="s">
        <v>118</v>
      </c>
    </row>
    <row r="17" customFormat="false" ht="15" hidden="false" customHeight="false" outlineLevel="0" collapsed="false">
      <c r="A17" s="2" t="s">
        <v>120</v>
      </c>
      <c r="B17" s="2" t="s">
        <v>111</v>
      </c>
      <c r="C17" s="2" t="n">
        <v>4.176</v>
      </c>
      <c r="D17" s="2" t="n">
        <v>110.833034304706</v>
      </c>
      <c r="E17" s="2" t="n">
        <v>21.4952545814092</v>
      </c>
      <c r="F17" s="2" t="n">
        <v>89.3261016522013</v>
      </c>
      <c r="G17" s="2" t="n">
        <v>0.0116780710954399</v>
      </c>
      <c r="H17" s="2" t="n">
        <v>19.3942669857019</v>
      </c>
      <c r="I17" s="2" t="n">
        <v>68.05</v>
      </c>
      <c r="J17" s="2" t="n">
        <v>20.97</v>
      </c>
      <c r="K17" s="2" t="n">
        <v>47.08</v>
      </c>
      <c r="L17" s="2" t="s">
        <v>118</v>
      </c>
    </row>
    <row r="18" customFormat="false" ht="15" hidden="false" customHeight="false" outlineLevel="0" collapsed="false">
      <c r="A18" s="2" t="s">
        <v>121</v>
      </c>
      <c r="B18" s="2" t="s">
        <v>111</v>
      </c>
      <c r="C18" s="2" t="n">
        <v>4.1727</v>
      </c>
      <c r="D18" s="2" t="n">
        <v>109.462838443749</v>
      </c>
      <c r="E18" s="2" t="n">
        <v>24.7390417936356</v>
      </c>
      <c r="F18" s="2" t="n">
        <v>84.1607484057353</v>
      </c>
      <c r="G18" s="2" t="n">
        <v>0.563048244377881</v>
      </c>
      <c r="H18" s="2" t="n">
        <v>22.6004022418517</v>
      </c>
      <c r="I18" s="2" t="n">
        <v>68.23</v>
      </c>
      <c r="J18" s="2" t="n">
        <v>19.38</v>
      </c>
      <c r="K18" s="2" t="n">
        <v>48.85</v>
      </c>
      <c r="L18" s="2"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23.85" hidden="false" customHeight="false" outlineLevel="0" collapsed="false">
      <c r="A1" s="5" t="s">
        <v>122</v>
      </c>
    </row>
    <row r="2" customFormat="false" ht="15" hidden="false" customHeight="false" outlineLevel="0" collapsed="false">
      <c r="A2" s="5" t="s">
        <v>123</v>
      </c>
    </row>
    <row r="3" customFormat="false" ht="68.65" hidden="false" customHeight="false" outlineLevel="0" collapsed="false">
      <c r="A3" s="5" t="s">
        <v>124</v>
      </c>
    </row>
    <row r="4" customFormat="false" ht="79.85" hidden="false" customHeight="false" outlineLevel="0" collapsed="false">
      <c r="A4" s="5"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6"/>
  </cols>
  <sheetData>
    <row r="1" customFormat="false" ht="15" hidden="false" customHeight="false" outlineLevel="0" collapsed="false">
      <c r="A1" s="3" t="s">
        <v>126</v>
      </c>
      <c r="B1" s="3" t="s">
        <v>127</v>
      </c>
    </row>
    <row r="2" customFormat="false" ht="15" hidden="false" customHeight="false" outlineLevel="0" collapsed="false">
      <c r="A2" s="2" t="s">
        <v>128</v>
      </c>
      <c r="B2" s="2" t="n">
        <v>0.975717875127543</v>
      </c>
    </row>
    <row r="3" customFormat="false" ht="15" hidden="false" customHeight="false" outlineLevel="0" collapsed="false">
      <c r="A3" s="2" t="s">
        <v>129</v>
      </c>
      <c r="B3" s="6" t="n">
        <v>2.32108658728963E-011</v>
      </c>
    </row>
    <row r="4" customFormat="false" ht="15" hidden="false" customHeight="false" outlineLevel="0" collapsed="false">
      <c r="A4" s="2" t="s">
        <v>130</v>
      </c>
      <c r="B4" s="2" t="n">
        <v>-0.00064855625061</v>
      </c>
    </row>
    <row r="5" customFormat="false" ht="15" hidden="false" customHeight="false" outlineLevel="0" collapsed="false">
      <c r="A5" s="2" t="s">
        <v>131</v>
      </c>
      <c r="B5" s="2" t="n">
        <v>0.000819881202914985</v>
      </c>
    </row>
    <row r="6" customFormat="false" ht="15" hidden="false" customHeight="false" outlineLevel="0" collapsed="false">
      <c r="A6" s="2" t="s">
        <v>132</v>
      </c>
      <c r="B6" s="2" t="n">
        <v>0.206181815170737</v>
      </c>
    </row>
    <row r="7" customFormat="false" ht="15" hidden="false" customHeight="false" outlineLevel="0" collapsed="false">
      <c r="A7" s="2" t="s">
        <v>133</v>
      </c>
      <c r="B7" s="2" t="n">
        <v>-0.0217247255258144</v>
      </c>
    </row>
    <row r="8" customFormat="false" ht="15" hidden="false" customHeight="false" outlineLevel="0" collapsed="false">
      <c r="A8" s="2" t="s">
        <v>134</v>
      </c>
      <c r="B8" s="2" t="n">
        <v>0.00503790786554426</v>
      </c>
    </row>
    <row r="9" customFormat="false" ht="15" hidden="false" customHeight="false" outlineLevel="0" collapsed="false">
      <c r="A9" s="2" t="s">
        <v>135</v>
      </c>
      <c r="B9" s="2" t="n">
        <v>0.062616266371947</v>
      </c>
    </row>
    <row r="10" customFormat="false" ht="15" hidden="false" customHeight="false" outlineLevel="0" collapsed="false">
      <c r="A10" s="2" t="s">
        <v>136</v>
      </c>
      <c r="B10" s="2" t="n">
        <v>0.00548299125347285</v>
      </c>
    </row>
    <row r="11" customFormat="false" ht="15" hidden="false" customHeight="false" outlineLevel="0" collapsed="false">
      <c r="A11" s="2" t="s">
        <v>137</v>
      </c>
      <c r="B11" s="2" t="n">
        <v>0.0200216726846616</v>
      </c>
    </row>
    <row r="12" customFormat="false" ht="15" hidden="false" customHeight="false" outlineLevel="0" collapsed="false">
      <c r="A12" s="2" t="s">
        <v>138</v>
      </c>
      <c r="B12" s="2" t="n">
        <v>1.48897783640496</v>
      </c>
    </row>
    <row r="13" customFormat="false" ht="15" hidden="false" customHeight="false" outlineLevel="0" collapsed="false">
      <c r="A13" s="2" t="s">
        <v>139</v>
      </c>
      <c r="B13" s="2" t="n">
        <v>-0.305821865303415</v>
      </c>
    </row>
    <row r="14" customFormat="false" ht="15" hidden="false" customHeight="false" outlineLevel="0" collapsed="false">
      <c r="A14" s="2" t="s">
        <v>140</v>
      </c>
      <c r="B14" s="2" t="n">
        <v>0.00327365881429564</v>
      </c>
    </row>
    <row r="15" customFormat="false" ht="15" hidden="false" customHeight="false" outlineLevel="0" collapsed="false">
      <c r="A15" s="2" t="s">
        <v>141</v>
      </c>
      <c r="B15" s="2" t="n">
        <v>0.0398145369898657</v>
      </c>
    </row>
    <row r="16" customFormat="false" ht="15" hidden="false" customHeight="false" outlineLevel="0" collapsed="false">
      <c r="A16" s="2" t="s">
        <v>142</v>
      </c>
      <c r="B16" s="2" t="n">
        <v>0.00551631911679351</v>
      </c>
    </row>
    <row r="17" customFormat="false" ht="15" hidden="false" customHeight="false" outlineLevel="0" collapsed="false">
      <c r="A17" s="2" t="s">
        <v>143</v>
      </c>
      <c r="B17" s="2" t="n">
        <v>0.0847956586240528</v>
      </c>
    </row>
    <row r="18" customFormat="false" ht="15" hidden="false" customHeight="false" outlineLevel="0" collapsed="false">
      <c r="A18" s="2" t="s">
        <v>144</v>
      </c>
      <c r="B18" s="2" t="n">
        <v>1.41088468164253</v>
      </c>
    </row>
    <row r="19" customFormat="false" ht="15" hidden="false" customHeight="false" outlineLevel="0" collapsed="false">
      <c r="A19" s="2" t="s">
        <v>145</v>
      </c>
      <c r="B19" s="2" t="n">
        <v>-0.307861475483378</v>
      </c>
    </row>
    <row r="20" customFormat="false" ht="15" hidden="false" customHeight="false" outlineLevel="0" collapsed="false">
      <c r="A20" s="2" t="s">
        <v>146</v>
      </c>
      <c r="B20" s="2" t="s">
        <v>147</v>
      </c>
    </row>
    <row r="21" customFormat="false" ht="15" hidden="false" customHeight="false" outlineLevel="0" collapsed="false">
      <c r="A21" s="2" t="s">
        <v>148</v>
      </c>
      <c r="B21" s="2" t="s">
        <v>147</v>
      </c>
    </row>
    <row r="22" customFormat="false" ht="15" hidden="false" customHeight="false" outlineLevel="0" collapsed="false">
      <c r="A22" s="2" t="s">
        <v>149</v>
      </c>
      <c r="B22" s="2" t="n">
        <v>0</v>
      </c>
    </row>
    <row r="23" customFormat="false" ht="15" hidden="false" customHeight="false" outlineLevel="0" collapsed="false">
      <c r="A23" s="2" t="s">
        <v>150</v>
      </c>
      <c r="B23" s="2" t="n">
        <v>0</v>
      </c>
    </row>
    <row r="24" customFormat="false" ht="15" hidden="false" customHeight="false" outlineLevel="0" collapsed="false">
      <c r="A24" s="2" t="s">
        <v>151</v>
      </c>
      <c r="B24" s="2" t="n">
        <v>85.700699276118</v>
      </c>
    </row>
    <row r="25" customFormat="false" ht="15" hidden="false" customHeight="false" outlineLevel="0" collapsed="false">
      <c r="A25" s="2" t="s">
        <v>152</v>
      </c>
      <c r="B25" s="2" t="n">
        <v>82.9629522175588</v>
      </c>
    </row>
    <row r="26" customFormat="false" ht="15" hidden="false" customHeight="false" outlineLevel="0" collapsed="false">
      <c r="A26" s="2" t="s">
        <v>153</v>
      </c>
      <c r="B26" s="2" t="n">
        <v>96.718297592367</v>
      </c>
    </row>
    <row r="27" customFormat="false" ht="15" hidden="false" customHeight="false" outlineLevel="0" collapsed="false">
      <c r="A27" s="2" t="s">
        <v>154</v>
      </c>
      <c r="B27" s="6" t="n">
        <v>1.2E-011</v>
      </c>
    </row>
    <row r="28" customFormat="false" ht="15" hidden="false" customHeight="false" outlineLevel="0" collapsed="false">
      <c r="A28" s="2" t="s">
        <v>155</v>
      </c>
      <c r="B28" s="2" t="n">
        <v>0.308102760535576</v>
      </c>
    </row>
    <row r="29" customFormat="false" ht="15" hidden="false" customHeight="false" outlineLevel="0" collapsed="false">
      <c r="A29" s="2" t="s">
        <v>156</v>
      </c>
      <c r="B29" s="2" t="n">
        <v>0.169868364338555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4" min="3" style="0" width="13"/>
    <col collapsed="false" customWidth="true" hidden="false" outlineLevel="0" max="6" min="5" style="0" width="34"/>
    <col collapsed="false" customWidth="true" hidden="false" outlineLevel="0" max="7" min="7" style="0" width="30"/>
    <col collapsed="false" customWidth="true" hidden="false" outlineLevel="0" max="8" min="8" style="0" width="28"/>
    <col collapsed="false" customWidth="true" hidden="false" outlineLevel="0" max="9" min="9" style="0" width="27"/>
    <col collapsed="false" customWidth="true" hidden="false" outlineLevel="0" max="10" min="10" style="0" width="25"/>
    <col collapsed="false" customWidth="true" hidden="false" outlineLevel="0" max="11" min="11" style="0" width="29"/>
    <col collapsed="false" customWidth="true" hidden="false" outlineLevel="0" max="12" min="12" style="0" width="22"/>
    <col collapsed="false" customWidth="true" hidden="false" outlineLevel="0" max="13" min="13" style="0" width="34"/>
    <col collapsed="false" customWidth="true" hidden="false" outlineLevel="0" max="14" min="14" style="0" width="30"/>
    <col collapsed="false" customWidth="true" hidden="false" outlineLevel="0" max="15" min="15" style="0" width="27"/>
    <col collapsed="false" customWidth="true" hidden="false" outlineLevel="0" max="16" min="16" style="0" width="23"/>
  </cols>
  <sheetData>
    <row r="1" customFormat="false" ht="23.85" hidden="false" customHeight="false" outlineLevel="0" collapsed="false">
      <c r="A1" s="3" t="s">
        <v>157</v>
      </c>
      <c r="B1" s="3" t="s">
        <v>10</v>
      </c>
      <c r="C1" s="3" t="s">
        <v>11</v>
      </c>
      <c r="D1" s="3" t="s">
        <v>12</v>
      </c>
      <c r="E1" s="3" t="s">
        <v>158</v>
      </c>
      <c r="F1" s="3" t="s">
        <v>159</v>
      </c>
      <c r="G1" s="3" t="s">
        <v>160</v>
      </c>
      <c r="H1" s="3" t="s">
        <v>161</v>
      </c>
      <c r="I1" s="3" t="s">
        <v>162</v>
      </c>
      <c r="J1" s="3" t="s">
        <v>163</v>
      </c>
      <c r="K1" s="3" t="s">
        <v>164</v>
      </c>
      <c r="L1" s="3" t="s">
        <v>165</v>
      </c>
      <c r="M1" s="3" t="s">
        <v>166</v>
      </c>
      <c r="N1" s="3" t="s">
        <v>167</v>
      </c>
      <c r="O1" s="3" t="s">
        <v>168</v>
      </c>
      <c r="P1" s="3" t="s">
        <v>28</v>
      </c>
    </row>
    <row r="2" customFormat="false" ht="15" hidden="false" customHeight="false" outlineLevel="0" collapsed="false">
      <c r="A2" s="2" t="s">
        <v>169</v>
      </c>
      <c r="B2" s="2" t="n">
        <v>33222.9</v>
      </c>
      <c r="C2" s="2" t="n">
        <v>30</v>
      </c>
      <c r="D2" s="2" t="n">
        <v>0.5</v>
      </c>
      <c r="E2" s="2" t="n">
        <v>15.51</v>
      </c>
      <c r="F2" s="2" t="n">
        <v>15.4195131331575</v>
      </c>
      <c r="G2" s="2" t="n">
        <v>348.29</v>
      </c>
      <c r="H2" s="2" t="n">
        <v>360.313102935437</v>
      </c>
      <c r="I2" s="2" t="n">
        <v>167.89</v>
      </c>
      <c r="J2" s="2" t="n">
        <v>182.225456175988</v>
      </c>
      <c r="K2" s="2" t="n">
        <v>130.953368851284</v>
      </c>
      <c r="L2" s="2" t="n">
        <v>212.3</v>
      </c>
      <c r="M2" s="2" t="n">
        <v>16.0568840491256</v>
      </c>
      <c r="N2" s="2" t="n">
        <v>490.1</v>
      </c>
      <c r="O2" s="2" t="n">
        <v>506.551464304854</v>
      </c>
      <c r="P2" s="2" t="s">
        <v>64</v>
      </c>
    </row>
    <row r="3" customFormat="false" ht="15" hidden="false" customHeight="false" outlineLevel="0" collapsed="false">
      <c r="A3" s="2" t="s">
        <v>169</v>
      </c>
      <c r="B3" s="2" t="n">
        <v>33222.9</v>
      </c>
      <c r="C3" s="2" t="n">
        <v>10</v>
      </c>
      <c r="D3" s="2" t="n">
        <v>0.5</v>
      </c>
      <c r="E3" s="2" t="n">
        <v>5.7</v>
      </c>
      <c r="F3" s="2" t="n">
        <v>5.6806361317294</v>
      </c>
      <c r="G3" s="2" t="n">
        <v>355.92</v>
      </c>
      <c r="H3" s="2" t="n">
        <v>363.896909986605</v>
      </c>
      <c r="I3" s="2" t="n">
        <v>167.12</v>
      </c>
      <c r="J3" s="2" t="n">
        <v>181.372397222946</v>
      </c>
      <c r="K3" s="2" t="n">
        <v>122.797110660567</v>
      </c>
      <c r="L3" s="2" t="n">
        <v>211.2</v>
      </c>
      <c r="M3" s="2" t="n">
        <v>16.0191207180741</v>
      </c>
      <c r="N3" s="2" t="n">
        <v>534.6</v>
      </c>
      <c r="O3" s="2" t="n">
        <v>540.007305810652</v>
      </c>
      <c r="P3" s="2" t="s">
        <v>64</v>
      </c>
    </row>
    <row r="4" customFormat="false" ht="15" hidden="false" customHeight="false" outlineLevel="0" collapsed="false">
      <c r="A4" s="2" t="s">
        <v>169</v>
      </c>
      <c r="B4" s="2" t="n">
        <v>21495.3</v>
      </c>
      <c r="C4" s="2" t="n">
        <v>30</v>
      </c>
      <c r="D4" s="2" t="n">
        <v>0.5</v>
      </c>
      <c r="E4" s="2" t="n">
        <v>20.07</v>
      </c>
      <c r="F4" s="2" t="n">
        <v>19.8052330399839</v>
      </c>
      <c r="G4" s="2" t="n">
        <v>236.67</v>
      </c>
      <c r="H4" s="2" t="n">
        <v>244.951427831851</v>
      </c>
      <c r="I4" s="2" t="n">
        <v>123.18</v>
      </c>
      <c r="J4" s="2" t="n">
        <v>134.023204376743</v>
      </c>
      <c r="K4" s="2" t="s">
        <v>170</v>
      </c>
      <c r="L4" s="2" t="n">
        <v>152.8</v>
      </c>
      <c r="M4" s="2" t="n">
        <v>14.6923283437065</v>
      </c>
      <c r="N4" s="2" t="n">
        <v>329.1</v>
      </c>
      <c r="O4" s="2" t="n">
        <v>340.182758683711</v>
      </c>
      <c r="P4" s="2" t="s">
        <v>64</v>
      </c>
    </row>
    <row r="5" customFormat="false" ht="15" hidden="false" customHeight="false" outlineLevel="0" collapsed="false">
      <c r="A5" s="2" t="s">
        <v>169</v>
      </c>
      <c r="B5" s="2" t="n">
        <v>33222.9</v>
      </c>
      <c r="C5" s="2" t="n">
        <v>30</v>
      </c>
      <c r="D5" s="2" t="n">
        <v>0.2</v>
      </c>
      <c r="E5" s="2" t="n">
        <v>20.5</v>
      </c>
      <c r="F5" s="2" t="n">
        <v>20.438286266255</v>
      </c>
      <c r="G5" s="2" t="n">
        <v>250.79</v>
      </c>
      <c r="H5" s="2" t="n">
        <v>253.588738997816</v>
      </c>
      <c r="I5" s="2" t="n">
        <v>148.31</v>
      </c>
      <c r="J5" s="2" t="n">
        <v>153.92403509182</v>
      </c>
      <c r="K5" s="2" t="s">
        <v>170</v>
      </c>
      <c r="L5" s="2" t="n">
        <v>168.9</v>
      </c>
      <c r="M5" s="2" t="n">
        <v>10.4072028548856</v>
      </c>
      <c r="N5" s="2" t="n">
        <v>516.7</v>
      </c>
      <c r="O5" s="2" t="n">
        <v>520.915579880215</v>
      </c>
      <c r="P5" s="2" t="s">
        <v>64</v>
      </c>
    </row>
    <row r="6" customFormat="false" ht="15" hidden="false" customHeight="false" outlineLevel="0" collapsed="false">
      <c r="A6" s="2" t="s">
        <v>171</v>
      </c>
      <c r="B6" s="2" t="n">
        <v>33222.9</v>
      </c>
      <c r="C6" s="2" t="n">
        <v>30</v>
      </c>
      <c r="D6" s="2" t="n">
        <v>0.5</v>
      </c>
      <c r="E6" s="2" t="n">
        <v>15.51</v>
      </c>
      <c r="F6" s="2" t="n">
        <v>19.2819189940071</v>
      </c>
      <c r="G6" s="2" t="n">
        <v>348.29</v>
      </c>
      <c r="H6" s="2" t="n">
        <v>247.947094672512</v>
      </c>
      <c r="I6" s="2" t="n">
        <v>167.89</v>
      </c>
      <c r="J6" s="2" t="n">
        <v>182.680669488577</v>
      </c>
      <c r="K6" s="2" t="n">
        <v>116.443572396462</v>
      </c>
      <c r="L6" s="2" t="n">
        <v>212.3</v>
      </c>
      <c r="M6" s="2" t="n">
        <v>15.8138443734241</v>
      </c>
      <c r="N6" s="2" t="n">
        <v>490.1</v>
      </c>
      <c r="O6" s="2" t="n">
        <v>490.0706</v>
      </c>
      <c r="P6" s="2" t="s">
        <v>64</v>
      </c>
    </row>
    <row r="9" customFormat="false" ht="23.85" hidden="false" customHeight="false" outlineLevel="0" collapsed="false">
      <c r="A9" s="3" t="s">
        <v>172</v>
      </c>
      <c r="B9" s="3" t="s">
        <v>10</v>
      </c>
      <c r="C9" s="3" t="s">
        <v>11</v>
      </c>
      <c r="D9" s="3" t="s">
        <v>12</v>
      </c>
      <c r="E9" s="3" t="s">
        <v>173</v>
      </c>
      <c r="F9" s="3" t="s">
        <v>174</v>
      </c>
      <c r="G9" s="3" t="s">
        <v>175</v>
      </c>
      <c r="H9" s="3" t="s">
        <v>176</v>
      </c>
      <c r="I9" s="3" t="s">
        <v>177</v>
      </c>
      <c r="J9" s="3" t="s">
        <v>178</v>
      </c>
    </row>
    <row r="10" customFormat="false" ht="15" hidden="false" customHeight="false" outlineLevel="0" collapsed="false">
      <c r="A10" s="2" t="s">
        <v>179</v>
      </c>
      <c r="B10" s="2" t="n">
        <v>33222.9</v>
      </c>
      <c r="C10" s="2" t="n">
        <v>30</v>
      </c>
      <c r="D10" s="2" t="n">
        <v>0.5</v>
      </c>
      <c r="E10" s="7" t="n">
        <v>39.4372585838387</v>
      </c>
      <c r="F10" s="7" t="n">
        <v>5.70230308629154</v>
      </c>
      <c r="G10" s="7" t="n">
        <v>2.54228147539589</v>
      </c>
      <c r="H10" s="7" t="n">
        <v>0.464784237905866</v>
      </c>
      <c r="I10" s="7" t="n">
        <v>16.9768730494089</v>
      </c>
      <c r="J10" s="7" t="n">
        <v>24.9770892950197</v>
      </c>
    </row>
    <row r="11" customFormat="false" ht="15" hidden="false" customHeight="false" outlineLevel="0" collapsed="false">
      <c r="A11" s="2" t="s">
        <v>180</v>
      </c>
      <c r="B11" s="2" t="n">
        <v>21495.3</v>
      </c>
      <c r="C11" s="2" t="n">
        <v>30</v>
      </c>
      <c r="D11" s="2" t="n">
        <v>0.5</v>
      </c>
      <c r="E11" s="7" t="n">
        <v>0.556888327919477</v>
      </c>
      <c r="F11" s="7" t="n">
        <v>0.373256864797872</v>
      </c>
      <c r="G11" s="7" t="n">
        <v>0.195812568197149</v>
      </c>
      <c r="H11" s="7" t="n">
        <v>0</v>
      </c>
      <c r="I11" s="7" t="n">
        <v>22.9911075058746</v>
      </c>
      <c r="J11" s="2" t="s">
        <v>170</v>
      </c>
    </row>
    <row r="12" customFormat="false" ht="15" hidden="false" customHeight="false" outlineLevel="0" collapsed="false">
      <c r="A12" s="2" t="s">
        <v>181</v>
      </c>
      <c r="B12" s="2" t="n">
        <v>33222.9</v>
      </c>
      <c r="C12" s="2" t="n">
        <v>30</v>
      </c>
      <c r="D12" s="2" t="n">
        <v>0.2</v>
      </c>
      <c r="E12" s="7" t="n">
        <v>0.908874182659571</v>
      </c>
      <c r="F12" s="7" t="n">
        <v>0.514565682603055</v>
      </c>
      <c r="G12" s="7" t="n">
        <v>0.283055000975135</v>
      </c>
      <c r="H12" s="7" t="n">
        <v>0</v>
      </c>
      <c r="I12" s="7" t="n">
        <v>23.9667529712611</v>
      </c>
      <c r="J12" s="2" t="s">
        <v>170</v>
      </c>
    </row>
    <row r="13" customFormat="false" ht="15" hidden="false" customHeight="false" outlineLevel="0" collapsed="false">
      <c r="A13" s="2" t="s">
        <v>182</v>
      </c>
      <c r="B13" s="2" t="n">
        <v>21495.3</v>
      </c>
      <c r="C13" s="2" t="n">
        <v>30</v>
      </c>
      <c r="D13" s="2" t="n">
        <v>0.2</v>
      </c>
      <c r="E13" s="7" t="n">
        <v>0.00565241433061335</v>
      </c>
      <c r="F13" s="7" t="n">
        <v>0</v>
      </c>
      <c r="G13" s="7" t="n">
        <v>0</v>
      </c>
      <c r="H13" s="7" t="n">
        <v>0</v>
      </c>
      <c r="I13" s="2" t="s">
        <v>170</v>
      </c>
      <c r="J13" s="2" t="s">
        <v>170</v>
      </c>
    </row>
    <row r="14" customFormat="false" ht="15" hidden="false" customHeight="false" outlineLevel="0" collapsed="false">
      <c r="A14" s="2" t="s">
        <v>183</v>
      </c>
      <c r="B14" s="2" t="n">
        <v>33222.9</v>
      </c>
      <c r="C14" s="2" t="n">
        <v>30</v>
      </c>
      <c r="D14" s="2" t="n">
        <v>0.1</v>
      </c>
      <c r="E14" s="7" t="n">
        <v>0.00735722463359847</v>
      </c>
      <c r="F14" s="7" t="n">
        <v>0</v>
      </c>
      <c r="G14" s="7" t="n">
        <v>0</v>
      </c>
      <c r="H14" s="7" t="n">
        <v>0</v>
      </c>
      <c r="I14" s="2" t="s">
        <v>170</v>
      </c>
      <c r="J14" s="2" t="s">
        <v>170</v>
      </c>
    </row>
    <row r="15" customFormat="false" ht="15" hidden="false" customHeight="false" outlineLevel="0" collapsed="false">
      <c r="A15" s="2" t="s">
        <v>184</v>
      </c>
      <c r="B15" s="2" t="n">
        <v>33222.9</v>
      </c>
      <c r="C15" s="2" t="n">
        <v>10</v>
      </c>
      <c r="D15" s="2" t="n">
        <v>0.5</v>
      </c>
      <c r="E15" s="7" t="n">
        <v>34.4537315506632</v>
      </c>
      <c r="F15" s="7" t="n">
        <v>5.36641142272815</v>
      </c>
      <c r="G15" s="7" t="n">
        <v>2.45736267961699</v>
      </c>
      <c r="H15" s="7" t="n">
        <v>0.502713407094315</v>
      </c>
      <c r="I15" s="7" t="n">
        <v>6.45239521409972</v>
      </c>
      <c r="J15" s="7" t="n">
        <v>11.6478170961914</v>
      </c>
    </row>
    <row r="16" customFormat="false" ht="15" hidden="false" customHeight="false" outlineLevel="0" collapsed="false">
      <c r="A16" s="2" t="s">
        <v>185</v>
      </c>
      <c r="B16" s="2" t="n">
        <v>33222.9</v>
      </c>
      <c r="C16" s="2" t="n">
        <v>10</v>
      </c>
      <c r="D16" s="2" t="n">
        <v>0.2</v>
      </c>
      <c r="E16" s="7" t="n">
        <v>0.887488878554445</v>
      </c>
      <c r="F16" s="7" t="n">
        <v>0.50490658607203</v>
      </c>
      <c r="G16" s="7" t="n">
        <v>0.251684565516942</v>
      </c>
      <c r="H16" s="7" t="n">
        <v>0</v>
      </c>
      <c r="I16" s="7" t="n">
        <v>10.4706385650631</v>
      </c>
      <c r="J16" s="2" t="s">
        <v>170</v>
      </c>
    </row>
    <row r="17" customFormat="false" ht="15" hidden="false" customHeight="false" outlineLevel="0" collapsed="false">
      <c r="A17" s="2" t="s">
        <v>186</v>
      </c>
      <c r="B17" s="2" t="n">
        <v>21495.3</v>
      </c>
      <c r="C17" s="2" t="n">
        <v>10</v>
      </c>
      <c r="D17" s="2" t="n">
        <v>0.5</v>
      </c>
      <c r="E17" s="7" t="n">
        <v>0.589585671823979</v>
      </c>
      <c r="F17" s="7" t="n">
        <v>0.398408667801335</v>
      </c>
      <c r="G17" s="7" t="n">
        <v>0.208437662459761</v>
      </c>
      <c r="H17" s="7" t="n">
        <v>0</v>
      </c>
      <c r="I17" s="7" t="n">
        <v>8.84197793287098</v>
      </c>
      <c r="J17" s="2"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2026-10-09T09:58:06Z</dcterms:created>
  <dc:creator>openpyxl</dc:creator>
  <dc:description/>
  <dc:language>en-US</dc:language>
  <cp:lastModifiedBy/>
  <dcterms:modified xsi:type="dcterms:W3CDTF">2026-10-09T09:58:07Z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